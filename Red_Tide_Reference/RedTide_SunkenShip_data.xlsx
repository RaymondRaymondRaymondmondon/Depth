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pecies" sheetId="2" state="visible" r:id="rId4"/>
    <sheet name="Attacks" sheetId="3" state="visible" r:id="rId5"/>
    <sheet name="Diet" sheetId="4" state="visible" r:id="rId6"/>
    <sheet name="Flora" sheetId="5" state="visible" r:id="rId7"/>
    <sheet name="Spawn" sheetId="6" state="visible" r:id="rId8"/>
    <sheet name="TideCurve" sheetId="7" state="visible" r:id="rId9"/>
    <sheet name="Blockout" sheetId="8" state="visible" r:id="rId10"/>
    <sheet name="Bos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<sst xmlns="http://schemas.openxmlformats.org/spreadsheetml/2006/main" count="946" uniqueCount="455">
  <si>
    <t xml:space="preserve">Red Tide — The Sunken Ship: map data workbook</t>
  </si>
  <si>
    <t xml:space="preserve">Sheets: Species (one row per beast, blue = tunable inputs), Attacks (one row per attack move), Diet (predator rows x food columns, weights 0-1 summing to 1 per row),</t>
  </si>
  <si>
    <t xml:space="preserve">Flora, Spawn (per zone counts and respawn), TideCurve (formulas from the Tunables block), Blockout (zones, links, points of interest in metres), Boss (the Goliath fight).</t>
  </si>
  <si>
    <t xml:space="preserve">How to use: Claude Code loads these sheets as redtide_maps/ship/*.json (export with pandas). Change blue cells only; grey formulas recompute.</t>
  </si>
  <si>
    <t xml:space="preserve">Rules that derive values: HP = base x 1.08^(tide-1); bounty = base x 1.10^(tide-1); blood on death = size x 20; blood/s wounded = size x 2 x wound fraction.</t>
  </si>
  <si>
    <t xml:space="preserve">Sizes 1-6 map to HP 20/60/250/900/3000/15000 and bounty 40/80/180/400/900/1500 (Red Tide design doc, Shared beast rules).</t>
  </si>
  <si>
    <t xml:space="preserve">Sources: all values are design targets from the Red Tide design document (2026-09-29); none are measured. Tune with --eco-sim ship and --redtide-sim ship.</t>
  </si>
  <si>
    <t xml:space="preserve">id</t>
  </si>
  <si>
    <t xml:space="preserve">name</t>
  </si>
  <si>
    <t xml:space="preserve">class</t>
  </si>
  <si>
    <t xml:space="preserve">size</t>
  </si>
  <si>
    <t xml:space="preserve">tier</t>
  </si>
  <si>
    <t xml:space="preserve">tags</t>
  </si>
  <si>
    <t xml:space="preserve">archetype</t>
  </si>
  <si>
    <t xml:space="preserve">social</t>
  </si>
  <si>
    <t xml:space="preserve">group_size</t>
  </si>
  <si>
    <t xml:space="preserve">home_zone</t>
  </si>
  <si>
    <t xml:space="preserve">home_flora</t>
  </si>
  <si>
    <t xml:space="preserve">defend_radius_m</t>
  </si>
  <si>
    <t xml:space="preserve">blood_threshold</t>
  </si>
  <si>
    <t xml:space="preserve">aggression</t>
  </si>
  <si>
    <t xml:space="preserve">fear</t>
  </si>
  <si>
    <t xml:space="preserve">curiosity</t>
  </si>
  <si>
    <t xml:space="preserve">sight_m</t>
  </si>
  <si>
    <t xml:space="preserve">scent_m</t>
  </si>
  <si>
    <t xml:space="preserve">hearing_m</t>
  </si>
  <si>
    <t xml:space="preserve">electro_m</t>
  </si>
  <si>
    <t xml:space="preserve">weak_point</t>
  </si>
  <si>
    <t xml:space="preserve">armor_front</t>
  </si>
  <si>
    <t xml:space="preserve">hp_base</t>
  </si>
  <si>
    <t xml:space="preserve">bounty_base</t>
  </si>
  <si>
    <t xml:space="preserve">blood_death</t>
  </si>
  <si>
    <t xml:space="preserve">blood_per_s_wounded</t>
  </si>
  <si>
    <t xml:space="preserve">speed_mps</t>
  </si>
  <si>
    <t xml:space="preserve">turn_deg_s</t>
  </si>
  <si>
    <t xml:space="preserve">drop_pct</t>
  </si>
  <si>
    <t xml:space="preserve">hp_tide10</t>
  </si>
  <si>
    <t xml:space="preserve">bounty_tide10</t>
  </si>
  <si>
    <t xml:space="preserve">special</t>
  </si>
  <si>
    <t xml:space="preserve">Bilge Sprat</t>
  </si>
  <si>
    <t xml:space="preserve">Fish</t>
  </si>
  <si>
    <t xml:space="preserve">schooler</t>
  </si>
  <si>
    <t xml:space="preserve">Schooler</t>
  </si>
  <si>
    <t xml:space="preserve">school</t>
  </si>
  <si>
    <t xml:space="preserve">Salon</t>
  </si>
  <si>
    <t xml:space="preserve">none</t>
  </si>
  <si>
    <t xml:space="preserve">Flashes silver when the school breaks; 20 sprats = one shark's blood</t>
  </si>
  <si>
    <t xml:space="preserve">Silverside</t>
  </si>
  <si>
    <t xml:space="preserve">Keel</t>
  </si>
  <si>
    <t xml:space="preserve">Bladder kelp</t>
  </si>
  <si>
    <t xml:space="preserve">School outside the hull; flashes draw barracuda by sight</t>
  </si>
  <si>
    <t xml:space="preserve">Sergeant Major</t>
  </si>
  <si>
    <t xml:space="preserve">territorial</t>
  </si>
  <si>
    <t xml:space="preserve">Territorial</t>
  </si>
  <si>
    <t xml:space="preserve">pair</t>
  </si>
  <si>
    <t xml:space="preserve">Turf algae</t>
  </si>
  <si>
    <t xml:space="preserve">Guards egg patches on the hull</t>
  </si>
  <si>
    <t xml:space="preserve">Barnacle Goby</t>
  </si>
  <si>
    <t xml:space="preserve">Grazer</t>
  </si>
  <si>
    <t xml:space="preserve">solo</t>
  </si>
  <si>
    <t xml:space="preserve">Cabins</t>
  </si>
  <si>
    <t xml:space="preserve">Lives in pipes; the sea snake's prey</t>
  </si>
  <si>
    <t xml:space="preserve">Cleaner Wrasse</t>
  </si>
  <si>
    <t xml:space="preserve">cleaner</t>
  </si>
  <si>
    <t xml:space="preserve">Galley</t>
  </si>
  <si>
    <t xml:space="preserve">Cleaning station in the galley: hosts within 6 m lose 20% aggression; killing it raises host aggression 20% map-wide for 5 min</t>
  </si>
  <si>
    <t xml:space="preserve">Cleaner Shrimp</t>
  </si>
  <si>
    <t xml:space="preserve">Crustacean</t>
  </si>
  <si>
    <t xml:space="preserve">group</t>
  </si>
  <si>
    <t xml:space="preserve">Barrel sponge</t>
  </si>
  <si>
    <t xml:space="preserve">Brushes parasites off a diver who holds still 3 s</t>
  </si>
  <si>
    <t xml:space="preserve">Fiddler Crab</t>
  </si>
  <si>
    <t xml:space="preserve">underside</t>
  </si>
  <si>
    <t xml:space="preserve">Waves a claw when a predator is within 20 m (free warning)</t>
  </si>
  <si>
    <t xml:space="preserve">Hermit Crab</t>
  </si>
  <si>
    <t xml:space="preserve">scavenger</t>
  </si>
  <si>
    <t xml:space="preserve">Eats corpses: 0.5 blood/s removed per crab</t>
  </si>
  <si>
    <t xml:space="preserve">Whelk</t>
  </si>
  <si>
    <t xml:space="preserve">Mollusc</t>
  </si>
  <si>
    <t xml:space="preserve">Coralline crust</t>
  </si>
  <si>
    <t xml:space="preserve">Slow; free scrip</t>
  </si>
  <si>
    <t xml:space="preserve">Sea Hare</t>
  </si>
  <si>
    <t xml:space="preserve">toxic</t>
  </si>
  <si>
    <t xml:space="preserve">Sea lettuce</t>
  </si>
  <si>
    <t xml:space="preserve">Inks when shot: an 8 s ink cloud (cuts sight and scent)</t>
  </si>
  <si>
    <t xml:space="preserve">Feather Duster Worm</t>
  </si>
  <si>
    <t xml:space="preserve">Worm</t>
  </si>
  <si>
    <t xml:space="preserve">sessile</t>
  </si>
  <si>
    <t xml:space="preserve">Retracts when anything passes within 2 m: a motion sensor</t>
  </si>
  <si>
    <t xml:space="preserve">Rudder Krill</t>
  </si>
  <si>
    <t xml:space="preserve">swarm</t>
  </si>
  <si>
    <t xml:space="preserve">Swarmer</t>
  </si>
  <si>
    <t xml:space="preserve">Engine</t>
  </si>
  <si>
    <t xml:space="preserve">Luminous algae mat</t>
  </si>
  <si>
    <t xml:space="preserve">One agent, 200 bodies; shooting it is loud and pointless</t>
  </si>
  <si>
    <t xml:space="preserve">Parrotfish</t>
  </si>
  <si>
    <t xml:space="preserve">gills</t>
  </si>
  <si>
    <t xml:space="preserve">Crunch = 3 noise every 4 s (draws barracuda); sleeps in a cocoon in cabins at night tides</t>
  </si>
  <si>
    <t xml:space="preserve">Rabbitfish</t>
  </si>
  <si>
    <t xml:space="preserve">venom</t>
  </si>
  <si>
    <t xml:space="preserve">Venomous dorsal spines on contact</t>
  </si>
  <si>
    <t xml:space="preserve">Damselfish</t>
  </si>
  <si>
    <t xml:space="preserve">A swarm of 1-damage bites inside its patch</t>
  </si>
  <si>
    <t xml:space="preserve">Blenny</t>
  </si>
  <si>
    <t xml:space="preserve">Ambusher</t>
  </si>
  <si>
    <t xml:space="preserve">Pipe-dweller; harmless</t>
  </si>
  <si>
    <t xml:space="preserve">Arrow Crab</t>
  </si>
  <si>
    <t xml:space="preserve">Sea fan</t>
  </si>
  <si>
    <t xml:space="preserve">On sea fans; harmless</t>
  </si>
  <si>
    <t xml:space="preserve">Mantis Shrimp</t>
  </si>
  <si>
    <t xml:space="preserve">burrower</t>
  </si>
  <si>
    <t xml:space="preserve">eyes</t>
  </si>
  <si>
    <t xml:space="preserve">Burrows in sand; strikes from the hole</t>
  </si>
  <si>
    <t xml:space="preserve">Lionfish</t>
  </si>
  <si>
    <t xml:space="preserve">Patroller</t>
  </si>
  <si>
    <t xml:space="preserve">belly</t>
  </si>
  <si>
    <t xml:space="preserve">Drifts through doorways; venom on contact</t>
  </si>
  <si>
    <t xml:space="preserve">Squirrelfish</t>
  </si>
  <si>
    <t xml:space="preserve">nocturnal</t>
  </si>
  <si>
    <t xml:space="preserve">Night tides only; loud clicks (2 noise)</t>
  </si>
  <si>
    <t xml:space="preserve">Reef Squid</t>
  </si>
  <si>
    <t xml:space="preserve">Cephalopod</t>
  </si>
  <si>
    <t xml:space="preserve">Dead man's fingers</t>
  </si>
  <si>
    <t xml:space="preserve">mantle</t>
  </si>
  <si>
    <t xml:space="preserve">Inks when threatened; drawn to dead man's fingers</t>
  </si>
  <si>
    <t xml:space="preserve">Cuttlefish</t>
  </si>
  <si>
    <t xml:space="preserve">camouflage</t>
  </si>
  <si>
    <t xml:space="preserve">Camouflaged; hypnotic flashing</t>
  </si>
  <si>
    <t xml:space="preserve">Banded Sea Snake</t>
  </si>
  <si>
    <t xml:space="preserve">Reptile</t>
  </si>
  <si>
    <t xml:space="preserve">venom,air-breather</t>
  </si>
  <si>
    <t xml:space="preserve">head</t>
  </si>
  <si>
    <t xml:space="preserve">Must surface at the salon air pocket every 90 s</t>
  </si>
  <si>
    <t xml:space="preserve">Stonefish</t>
  </si>
  <si>
    <t xml:space="preserve">venom,camouflage</t>
  </si>
  <si>
    <t xml:space="preserve">Invisible until stepped on; never moves</t>
  </si>
  <si>
    <t xml:space="preserve">Jelly Bloom</t>
  </si>
  <si>
    <t xml:space="preserve">Cnidarian</t>
  </si>
  <si>
    <t xml:space="preserve">swarm,venom</t>
  </si>
  <si>
    <t xml:space="preserve">Stern</t>
  </si>
  <si>
    <t xml:space="preserve">Sargassum raft</t>
  </si>
  <si>
    <t xml:space="preserve">Drifts under the sargassum and into the stern</t>
  </si>
  <si>
    <t xml:space="preserve">Remora</t>
  </si>
  <si>
    <t xml:space="preserve">parasite</t>
  </si>
  <si>
    <t xml:space="preserve">Parasite</t>
  </si>
  <si>
    <t xml:space="preserve">Rides sharks, turtles, divers</t>
  </si>
  <si>
    <t xml:space="preserve">Lamprey</t>
  </si>
  <si>
    <t xml:space="preserve">Prefers wounded hosts</t>
  </si>
  <si>
    <t xml:space="preserve">Green Moray</t>
  </si>
  <si>
    <t xml:space="preserve">Strikes 2 m from its pipe, retreats after 3 attacks</t>
  </si>
  <si>
    <t xml:space="preserve">Great Barracuda</t>
  </si>
  <si>
    <t xml:space="preserve">Drawn to flashes (silversides, gunfire flash, lamps) and the parrotfish crunch</t>
  </si>
  <si>
    <t xml:space="preserve">Grouper</t>
  </si>
  <si>
    <t xml:space="preserve">Waits in engine-room shadows</t>
  </si>
  <si>
    <t xml:space="preserve">Bluefin Trevally</t>
  </si>
  <si>
    <t xml:space="preserve">pack</t>
  </si>
  <si>
    <t xml:space="preserve">Pack hunter</t>
  </si>
  <si>
    <t xml:space="preserve">Drives schools against the hull; flank and drive roles</t>
  </si>
  <si>
    <t xml:space="preserve">Common Octopus</t>
  </si>
  <si>
    <t xml:space="preserve">thief</t>
  </si>
  <si>
    <t xml:space="preserve">Kill it in its den to get the item back</t>
  </si>
  <si>
    <t xml:space="preserve">Nurse Shark</t>
  </si>
  <si>
    <t xml:space="preserve">scavenger,nocturnal</t>
  </si>
  <si>
    <t xml:space="preserve">Eats corpses at 3 blood/s: the map's best cleanup; docile</t>
  </si>
  <si>
    <t xml:space="preserve">Hawksbill Turtle</t>
  </si>
  <si>
    <t xml:space="preserve">armored</t>
  </si>
  <si>
    <t xml:space="preserve">neck</t>
  </si>
  <si>
    <t xml:space="preserve">Eats sponges and the jelly bloom</t>
  </si>
  <si>
    <t xml:space="preserve">Loggerhead Turtle</t>
  </si>
  <si>
    <t xml:space="preserve">Eats crabs, whelks, mantis shrimp</t>
  </si>
  <si>
    <t xml:space="preserve">Sand Tiger Shark</t>
  </si>
  <si>
    <t xml:space="preserve">Wanderer</t>
  </si>
  <si>
    <t xml:space="preserve">Hangs motionless near the keel; investigates blood over 60</t>
  </si>
  <si>
    <t xml:space="preserve">Bull Shark</t>
  </si>
  <si>
    <t xml:space="preserve">Enters through the breach; aggressive; attacks Wreckers on sight</t>
  </si>
  <si>
    <t xml:space="preserve">Saltwater Crocodile</t>
  </si>
  <si>
    <t xml:space="preserve">amphibious,armored</t>
  </si>
  <si>
    <t xml:space="preserve">throat</t>
  </si>
  <si>
    <t xml:space="preserve">Lives in the salon air pocket; eats turtles, bull sharks, Wreckers; leaves for the sand when the pocket shrinks</t>
  </si>
  <si>
    <t xml:space="preserve">Tiger Shark</t>
  </si>
  <si>
    <t xml:space="preserve">Outside</t>
  </si>
  <si>
    <t xml:space="preserve">Follows blood from anywhere on the map; eats enemies as readily as divers; leaves when fed</t>
  </si>
  <si>
    <t xml:space="preserve">The Goliath</t>
  </si>
  <si>
    <t xml:space="preserve">boss</t>
  </si>
  <si>
    <t xml:space="preserve">Boss</t>
  </si>
  <si>
    <t xml:space="preserve">gills (behind the plates)</t>
  </si>
  <si>
    <t xml:space="preserve">Guards the Forge; wanders from tide 12; see the boss fight</t>
  </si>
  <si>
    <t xml:space="preserve">Blue = tunable input. Columns Y, Z, AD, AE are formulas. HP/bounty scale per tide via TideCurve.</t>
  </si>
  <si>
    <t xml:space="preserve">beast</t>
  </si>
  <si>
    <t xml:space="preserve">attack</t>
  </si>
  <si>
    <t xml:space="preserve">damage</t>
  </si>
  <si>
    <t xml:space="preserve">windup_s</t>
  </si>
  <si>
    <t xml:space="preserve">cooldown_s</t>
  </si>
  <si>
    <t xml:space="preserve">range_m</t>
  </si>
  <si>
    <t xml:space="preserve">tell (what the player sees)</t>
  </si>
  <si>
    <t xml:space="preserve">effect</t>
  </si>
  <si>
    <t xml:space="preserve">Nip</t>
  </si>
  <si>
    <t xml:space="preserve">Darts at the visor</t>
  </si>
  <si>
    <t xml:space="preserve">Spine</t>
  </si>
  <si>
    <t xml:space="preserve">Touch: poison 4 s</t>
  </si>
  <si>
    <t xml:space="preserve">Bite</t>
  </si>
  <si>
    <t xml:space="preserve">Rushes in</t>
  </si>
  <si>
    <t xml:space="preserve">Punch</t>
  </si>
  <si>
    <t xml:space="preserve">Antennae flick up</t>
  </si>
  <si>
    <t xml:space="preserve">Breaks a Shell Shield in 2 hits</t>
  </si>
  <si>
    <t xml:space="preserve">Spines</t>
  </si>
  <si>
    <t xml:space="preserve">Contact: poison 5 s</t>
  </si>
  <si>
    <t xml:space="preserve">Flash</t>
  </si>
  <si>
    <t xml:space="preserve">Skin ripples</t>
  </si>
  <si>
    <t xml:space="preserve">Diver aim sway +30% for 3 s</t>
  </si>
  <si>
    <t xml:space="preserve">Coils back</t>
  </si>
  <si>
    <t xml:space="preserve">Poison 20 over 10 s</t>
  </si>
  <si>
    <t xml:space="preserve">Contact: poison 8 s</t>
  </si>
  <si>
    <t xml:space="preserve">Sting</t>
  </si>
  <si>
    <t xml:space="preserve">Contact: 5/s</t>
  </si>
  <si>
    <t xml:space="preserve">Attach</t>
  </si>
  <si>
    <t xml:space="preserve">Swims alongside</t>
  </si>
  <si>
    <t xml:space="preserve">Diver swim speed -15% until brushed</t>
  </si>
  <si>
    <t xml:space="preserve">Latch</t>
  </si>
  <si>
    <t xml:space="preserve">Circles the target</t>
  </si>
  <si>
    <t xml:space="preserve">Host bleeds 2/s; host becomes a blood source</t>
  </si>
  <si>
    <t xml:space="preserve">Strike</t>
  </si>
  <si>
    <t xml:space="preserve">Mouth opens wide</t>
  </si>
  <si>
    <t xml:space="preserve">Bleed 3 s</t>
  </si>
  <si>
    <t xml:space="preserve">Hold</t>
  </si>
  <si>
    <t xml:space="preserve">Body straightens</t>
  </si>
  <si>
    <t xml:space="preserve">Holds 2 s</t>
  </si>
  <si>
    <t xml:space="preserve">Slash</t>
  </si>
  <si>
    <t xml:space="preserve">Straightens and accelerates</t>
  </si>
  <si>
    <t xml:space="preserve">Hit-and-run</t>
  </si>
  <si>
    <t xml:space="preserve">Circles wide</t>
  </si>
  <si>
    <t xml:space="preserve">Passes through; no hold</t>
  </si>
  <si>
    <t xml:space="preserve">Gulp</t>
  </si>
  <si>
    <t xml:space="preserve">Gills flare</t>
  </si>
  <si>
    <t xml:space="preserve">Swallows size 1 whole; on a diver: 40 and 1 s hold</t>
  </si>
  <si>
    <t xml:space="preserve">Ram</t>
  </si>
  <si>
    <t xml:space="preserve">Pack fans out</t>
  </si>
  <si>
    <t xml:space="preserve">Knocks a diver 2 m</t>
  </si>
  <si>
    <t xml:space="preserve">Grab</t>
  </si>
  <si>
    <t xml:space="preserve">Arm extends</t>
  </si>
  <si>
    <t xml:space="preserve">Steals a held part or charm, then flees home</t>
  </si>
  <si>
    <t xml:space="preserve">Only if shot</t>
  </si>
  <si>
    <t xml:space="preserve">Crush</t>
  </si>
  <si>
    <t xml:space="preserve">Head draws back</t>
  </si>
  <si>
    <t xml:space="preserve">Destroys a Shell Shield</t>
  </si>
  <si>
    <t xml:space="preserve">Mouth gapes, ragged teeth</t>
  </si>
  <si>
    <t xml:space="preserve">Bleed 4 s</t>
  </si>
  <si>
    <t xml:space="preserve">Thrash</t>
  </si>
  <si>
    <t xml:space="preserve">Tail sweeps</t>
  </si>
  <si>
    <t xml:space="preserve">Knockback 3 m</t>
  </si>
  <si>
    <t xml:space="preserve">Pectorals drop</t>
  </si>
  <si>
    <t xml:space="preserve">Straight line charge</t>
  </si>
  <si>
    <t xml:space="preserve">Knockback 4 m, stun 1 s</t>
  </si>
  <si>
    <t xml:space="preserve">Head shakes</t>
  </si>
  <si>
    <t xml:space="preserve">Holds 2 s; teammates must shoot it off</t>
  </si>
  <si>
    <t xml:space="preserve">Death Roll</t>
  </si>
  <si>
    <t xml:space="preserve">Rises from the air pocket, jaws open</t>
  </si>
  <si>
    <t xml:space="preserve">Holds and rolls; teammates have 4 s</t>
  </si>
  <si>
    <t xml:space="preserve">Snap</t>
  </si>
  <si>
    <t xml:space="preserve">Jaw clicks</t>
  </si>
  <si>
    <t xml:space="preserve">Tail</t>
  </si>
  <si>
    <t xml:space="preserve">Turns side-on</t>
  </si>
  <si>
    <t xml:space="preserve">Knockback 4 m</t>
  </si>
  <si>
    <t xml:space="preserve">Rolls to one side</t>
  </si>
  <si>
    <t xml:space="preserve">Bleed 5 s</t>
  </si>
  <si>
    <t xml:space="preserve">Straight charge</t>
  </si>
  <si>
    <t xml:space="preserve">Knockback 5 m, stun 1 s</t>
  </si>
  <si>
    <t xml:space="preserve">Drag</t>
  </si>
  <si>
    <t xml:space="preserve">Grabs and swims</t>
  </si>
  <si>
    <t xml:space="preserve">Carries a diver 10 m; teammates shoot it off</t>
  </si>
  <si>
    <t xml:space="preserve">Inhale</t>
  </si>
  <si>
    <t xml:space="preserve">Gills close, water rushes</t>
  </si>
  <si>
    <t xml:space="preserve">Pulls a diver into its mouth; 5 s to shoot it out (150 damage to the gills)</t>
  </si>
  <si>
    <t xml:space="preserve">Tail Slam</t>
  </si>
  <si>
    <t xml:space="preserve">Turns away</t>
  </si>
  <si>
    <t xml:space="preserve">Knockback 6 m; drops loose cargo</t>
  </si>
  <si>
    <t xml:space="preserve">Boom</t>
  </si>
  <si>
    <t xml:space="preserve">Swim bladder swells</t>
  </si>
  <si>
    <t xml:space="preserve">Loud 10-noise pulse: stun 1 s in 10 m</t>
  </si>
  <si>
    <t xml:space="preserve">Lunge</t>
  </si>
  <si>
    <t xml:space="preserve">Fins flare</t>
  </si>
  <si>
    <t xml:space="preserve">Beasts with no rows here never attack; they flee or ignore divers. Damage is vs 100 HP divers at tide 1 and scales x1.05 per tide (TideCurve).</t>
  </si>
  <si>
    <t xml:space="preserve">predator \ food</t>
  </si>
  <si>
    <t xml:space="preserve">Plankton</t>
  </si>
  <si>
    <t xml:space="preserve">Corpse</t>
  </si>
  <si>
    <t xml:space="preserve">Parasites</t>
  </si>
  <si>
    <t xml:space="preserve">Wrecker</t>
  </si>
  <si>
    <t xml:space="preserve">row_sum</t>
  </si>
  <si>
    <t xml:space="preserve">Weights are preference shares (each row sums to 1 or 0 for non-feeders). Blank = never eats. 'Wrecker' = the enemy faction as prey. Predators also obey the size rule (prey &lt;= 60% of size unless pack/school).</t>
  </si>
  <si>
    <t xml:space="preserve">flora</t>
  </si>
  <si>
    <t xml:space="preserve">type</t>
  </si>
  <si>
    <t xml:space="preserve">zones</t>
  </si>
  <si>
    <t xml:space="preserve">contact_damage</t>
  </si>
  <si>
    <t xml:space="preserve">grazed_by</t>
  </si>
  <si>
    <t xml:space="preserve">regrowth_rate_per_s</t>
  </si>
  <si>
    <t xml:space="preserve">regrow_delay_s</t>
  </si>
  <si>
    <t xml:space="preserve">Producer</t>
  </si>
  <si>
    <t xml:space="preserve">Keel, Stern</t>
  </si>
  <si>
    <t xml:space="preserve">Grazer food; parrotfish crunch draws barracuda</t>
  </si>
  <si>
    <t xml:space="preserve">Parrotfish, Rabbitfish, Sergeant Major, Damselfish, Fiddler Crab</t>
  </si>
  <si>
    <t xml:space="preserve">Grazer food; dies back if grazers are wiped, regrows in 90 s</t>
  </si>
  <si>
    <t xml:space="preserve">Sea Hare, Rabbitfish</t>
  </si>
  <si>
    <t xml:space="preserve">Fire coral</t>
  </si>
  <si>
    <t xml:space="preserve">Hazard</t>
  </si>
  <si>
    <t xml:space="preserve">Cabins, Galley</t>
  </si>
  <si>
    <t xml:space="preserve">Touch: 15 burn + flinch</t>
  </si>
  <si>
    <t xml:space="preserve">Stinging hydroids</t>
  </si>
  <si>
    <t xml:space="preserve">Salon doorways, Cabins</t>
  </si>
  <si>
    <t xml:space="preserve">Touch: bleed 3 s</t>
  </si>
  <si>
    <t xml:space="preserve">Shelter</t>
  </si>
  <si>
    <t xml:space="preserve">Galley, Stern</t>
  </si>
  <si>
    <t xml:space="preserve">Hides size-1 beasts; hawksbill food</t>
  </si>
  <si>
    <t xml:space="preserve">Cover</t>
  </si>
  <si>
    <t xml:space="preserve">Blocks sight; a moray or stonefish usually behind it</t>
  </si>
  <si>
    <t xml:space="preserve">Anemone bed</t>
  </si>
  <si>
    <t xml:space="preserve">Host/Hazard</t>
  </si>
  <si>
    <t xml:space="preserve">Clownfish home; stings 10; holds size 1</t>
  </si>
  <si>
    <t xml:space="preserve">Bladder kelp (mast)</t>
  </si>
  <si>
    <t xml:space="preserve">Shelter/Current</t>
  </si>
  <si>
    <t xml:space="preserve">Hides divers from sight; sways with current</t>
  </si>
  <si>
    <t xml:space="preserve">Whelk and sea hare food</t>
  </si>
  <si>
    <t xml:space="preserve">Whelk, Sea Hare</t>
  </si>
  <si>
    <t xml:space="preserve">Luminous</t>
  </si>
  <si>
    <t xml:space="preserve">Glows when touched; draws squid and cuttlefish at night tides</t>
  </si>
  <si>
    <t xml:space="preserve">Outside (surface)</t>
  </si>
  <si>
    <t xml:space="preserve">Shade; jelly bloom gathers under it</t>
  </si>
  <si>
    <t xml:space="preserve">Luminous producer</t>
  </si>
  <si>
    <t xml:space="preserve">Krill food; lights the engine room; the Goliath's lamp</t>
  </si>
  <si>
    <t xml:space="preserve">zone</t>
  </si>
  <si>
    <t xml:space="preserve">species</t>
  </si>
  <si>
    <t xml:space="preserve">count_tide1</t>
  </si>
  <si>
    <t xml:space="preserve">respawn_s</t>
  </si>
  <si>
    <t xml:space="preserve">capacity_mult_per_tide</t>
  </si>
  <si>
    <t xml:space="preserve">count_tide10</t>
  </si>
  <si>
    <t xml:space="preserve">Grand Salon</t>
  </si>
  <si>
    <t xml:space="preserve">Galley &amp; Pantry</t>
  </si>
  <si>
    <t xml:space="preserve">Cabin Deck</t>
  </si>
  <si>
    <t xml:space="preserve">Engine Room</t>
  </si>
  <si>
    <t xml:space="preserve">Stern &amp; Swim Platform</t>
  </si>
  <si>
    <t xml:space="preserve">The Keel &amp; Sand</t>
  </si>
  <si>
    <t xml:space="preserve">respawn_s = seconds to replace one killed individual while the zone is below capacity; 0 = never respawns (boss, ambushers placed once). Capacity grows 3% per tide.</t>
  </si>
  <si>
    <t xml:space="preserve">Tunables</t>
  </si>
  <si>
    <t xml:space="preserve">base_quota_4p</t>
  </si>
  <si>
    <t xml:space="preserve">quota_growth</t>
  </si>
  <si>
    <t xml:space="preserve">hp_growth</t>
  </si>
  <si>
    <t xml:space="preserve">bounty_growth</t>
  </si>
  <si>
    <t xml:space="preserve">dmg_growth</t>
  </si>
  <si>
    <t xml:space="preserve">alarm_base</t>
  </si>
  <si>
    <t xml:space="preserve">alarm_tide_factor</t>
  </si>
  <si>
    <t xml:space="preserve">spawn_chance_base</t>
  </si>
  <si>
    <t xml:space="preserve">spawn_chance_per_tide</t>
  </si>
  <si>
    <t xml:space="preserve">spawn_chance_cap</t>
  </si>
  <si>
    <t xml:space="preserve">blood_decay_early</t>
  </si>
  <si>
    <t xml:space="preserve">blood_decay_mid</t>
  </si>
  <si>
    <t xml:space="preserve">blood_decay_late</t>
  </si>
  <si>
    <t xml:space="preserve">calm_seconds</t>
  </si>
  <si>
    <t xml:space="preserve">tide</t>
  </si>
  <si>
    <t xml:space="preserve">kill_quota_4p</t>
  </si>
  <si>
    <t xml:space="preserve">hp_mult</t>
  </si>
  <si>
    <t xml:space="preserve">bounty_mult</t>
  </si>
  <si>
    <t xml:space="preserve">beast_dmg_mult</t>
  </si>
  <si>
    <t xml:space="preserve">alarm_threshold</t>
  </si>
  <si>
    <t xml:space="preserve">enemy_spawn_chance</t>
  </si>
  <si>
    <t xml:space="preserve">blood_decay_per_s</t>
  </si>
  <si>
    <t xml:space="preserve">hunt</t>
  </si>
  <si>
    <t xml:space="preserve">apex_wander</t>
  </si>
  <si>
    <t xml:space="preserve">boss_may_appear</t>
  </si>
  <si>
    <t xml:space="preserve">tide_bonus_scrip</t>
  </si>
  <si>
    <t xml:space="preserve">Quota scales 0.4/0.6/0.8/1.0 for 1-4 players. Beast damage multiplier is capped in code at 2.5 so a bite never one-shots a Juggernaut diver before tide 20.</t>
  </si>
  <si>
    <t xml:space="preserve">Zones (metres; ship lies on its starboard side, 'decks' are as walked)</t>
  </si>
  <si>
    <t xml:space="preserve">deck</t>
  </si>
  <si>
    <t xml:space="preserve">x</t>
  </si>
  <si>
    <t xml:space="preserve">y</t>
  </si>
  <si>
    <t xml:space="preserve">w</t>
  </si>
  <si>
    <t xml:space="preserve">h</t>
  </si>
  <si>
    <t xml:space="preserve">door_cost_scrip</t>
  </si>
  <si>
    <t xml:space="preserve">notes</t>
  </si>
  <si>
    <t xml:space="preserve">Bridge</t>
  </si>
  <si>
    <t xml:space="preserve">Upper</t>
  </si>
  <si>
    <t xml:space="preserve">Start pocket. Gannet rack, Juggernaut visible below</t>
  </si>
  <si>
    <t xml:space="preserve">Air pocket (crocodile lair), Quick Brine, Needler Mk I rack, workbench</t>
  </si>
  <si>
    <t xml:space="preserve">Flechette 12 rack, Locker spot 1, cleaning station</t>
  </si>
  <si>
    <t xml:space="preserve">Lower</t>
  </si>
  <si>
    <t xml:space="preserve">Six cabins, moray pipes, Speed Brine, Long Speargun rack, Carbine rack</t>
  </si>
  <si>
    <t xml:space="preserve">Power switch, Pressure Forge, the Goliath's home, algae mat</t>
  </si>
  <si>
    <t xml:space="preserve">Bolt Harpoon rack, Double Shot, Locker spot 2, hull breach (Wrecker entry)</t>
  </si>
  <si>
    <t xml:space="preserve">Open shelf under the hull, Kick Brine, mast kelp, shark lane</t>
  </si>
  <si>
    <t xml:space="preserve">Foredeck (outside)</t>
  </si>
  <si>
    <t xml:space="preserve">Cargo crane trap control; reached from the Bridge hatch</t>
  </si>
  <si>
    <t xml:space="preserve">Links</t>
  </si>
  <si>
    <t xml:space="preserve">from</t>
  </si>
  <si>
    <t xml:space="preserve">to</t>
  </si>
  <si>
    <t xml:space="preserve">cost_scrip</t>
  </si>
  <si>
    <t xml:space="preserve">passage</t>
  </si>
  <si>
    <t xml:space="preserve">Salon door</t>
  </si>
  <si>
    <t xml:space="preserve">Galley hatch</t>
  </si>
  <si>
    <t xml:space="preserve">Companionway stairs</t>
  </si>
  <si>
    <t xml:space="preserve">Watertight door</t>
  </si>
  <si>
    <t xml:space="preserve">Aft bulkhead</t>
  </si>
  <si>
    <t xml:space="preserve">Hull breach</t>
  </si>
  <si>
    <t xml:space="preserve">Bridge hatch (always open)</t>
  </si>
  <si>
    <t xml:space="preserve">Slide down the hull (one-way)</t>
  </si>
  <si>
    <t xml:space="preserve">Dumbwaiter shaft (one-way drop)</t>
  </si>
  <si>
    <t xml:space="preserve">Points of interest</t>
  </si>
  <si>
    <t xml:space="preserve">Gannet rack</t>
  </si>
  <si>
    <t xml:space="preserve">Rack</t>
  </si>
  <si>
    <t xml:space="preserve">Juggernaut Brine</t>
  </si>
  <si>
    <t xml:space="preserve">Tonic</t>
  </si>
  <si>
    <t xml:space="preserve">Quick Brine</t>
  </si>
  <si>
    <t xml:space="preserve">Needler Mk I rack</t>
  </si>
  <si>
    <t xml:space="preserve">Workbench</t>
  </si>
  <si>
    <t xml:space="preserve">Build</t>
  </si>
  <si>
    <t xml:space="preserve">Air pocket / croc lair</t>
  </si>
  <si>
    <t xml:space="preserve">Feature</t>
  </si>
  <si>
    <t xml:space="preserve">Flechette 12 rack</t>
  </si>
  <si>
    <t xml:space="preserve">Locker spot 1</t>
  </si>
  <si>
    <t xml:space="preserve">Locker</t>
  </si>
  <si>
    <t xml:space="preserve">Cleaning station</t>
  </si>
  <si>
    <t xml:space="preserve">Speed Brine</t>
  </si>
  <si>
    <t xml:space="preserve">Long Speargun rack</t>
  </si>
  <si>
    <t xml:space="preserve">Sea-Pattern Carbine rack</t>
  </si>
  <si>
    <t xml:space="preserve">Moray pipes x6</t>
  </si>
  <si>
    <t xml:space="preserve">Power switch</t>
  </si>
  <si>
    <t xml:space="preserve">Power</t>
  </si>
  <si>
    <t xml:space="preserve">Pressure Forge</t>
  </si>
  <si>
    <t xml:space="preserve">Forge</t>
  </si>
  <si>
    <t xml:space="preserve">Goliath home</t>
  </si>
  <si>
    <t xml:space="preserve">Bolt Harpoon rack</t>
  </si>
  <si>
    <t xml:space="preserve">Double Shot</t>
  </si>
  <si>
    <t xml:space="preserve">Locker spot 2</t>
  </si>
  <si>
    <t xml:space="preserve">Hull breach (Wrecker entry)</t>
  </si>
  <si>
    <t xml:space="preserve">Entry</t>
  </si>
  <si>
    <t xml:space="preserve">Kick Brine</t>
  </si>
  <si>
    <t xml:space="preserve">Mast &amp; bladder kelp</t>
  </si>
  <si>
    <t xml:space="preserve">Shark lane</t>
  </si>
  <si>
    <t xml:space="preserve">Cargo crane trap</t>
  </si>
  <si>
    <t xml:space="preserve">Trap</t>
  </si>
  <si>
    <t xml:space="preserve">Captain's safe (quest)</t>
  </si>
  <si>
    <t xml:space="preserve">Quest</t>
  </si>
  <si>
    <t xml:space="preserve">Stonefish nest</t>
  </si>
  <si>
    <t xml:space="preserve">Mantis burrows</t>
  </si>
  <si>
    <t xml:space="preserve">Design notes</t>
  </si>
  <si>
    <t xml:space="preserve">Training loop A: Salon -&gt; Galley -&gt; (dumbwaiter drop) -&gt; Cabin Deck -&gt; stairs -&gt; Salon. 60 m loop, 2 doorways of hydroids, safe from sharks until the breach opens.</t>
  </si>
  <si>
    <t xml:space="preserve">Training loop B (after breach): Stern -&gt; Keel -&gt; slide from Foredeck -&gt; Bridge -&gt; Salon -&gt; Cabins -&gt; Engine -&gt; Stern. 190 m loop, exposes the team to the shark lane on the Keel.</t>
  </si>
  <si>
    <t xml:space="preserve">Blood flow: current runs bow -&gt; stern inside the hull and along the Keel toward the breach, so blood made in the Salon reaches the Stern (and the Bull Shark) in about 40 s.</t>
  </si>
  <si>
    <t xml:space="preserve">Sightlines: inside 8-14 m; Keel up to 60 m (the only long-gun ground). Alarm region: Inside (Bridge..Stern) counts gunfire x2; Outside (Keel, Foredeck) x1.</t>
  </si>
  <si>
    <t xml:space="preserve">Wrecker entry: the hull breach at the Stern; Foreman Hunts also land on the Foredeck. Enemy patrol path: Stern -&gt; Engine -&gt; Cabins -&gt; Salon.</t>
  </si>
  <si>
    <t xml:space="preserve">The Goliath — a goliath grouper the size of a boiler; arena = the Engine Room and, from tide 12, wherever it wanders (the ship itself is the arena)</t>
  </si>
  <si>
    <t xml:space="preserve">HP 15,000 (x1.08 per tide); armor: front plates halve damage; weak point: gills behind the plates, exposed for 2 s after Inhale and after Tail Slam</t>
  </si>
  <si>
    <t xml:space="preserve">Phase 1 (100-60% HP): Inhale (pulls one diver; 5 s to deal 150 to the gills or the diver is swallowed and downed), Lunge, Boom. Stays within 12 m of its home.</t>
  </si>
  <si>
    <t xml:space="preserve">Phase 2 (60-30%): adds Tail Slam (drops loose cargo: 3 crates fall on marked squares), Boom every 3 s, calls 2 Groupers. Roams the Engine Room; the Forge is unusable while it is within 8 m.</t>
  </si>
  <si>
    <t xml:space="preserve">Phase 3 (30-0%): Enrage: speed x1.5, Inhale cooldown 8 s, swallows count as an instant down. It breaks the aft bulkhead and can chase into the Stern.</t>
  </si>
  <si>
    <t xml:space="preserve">Arena rules: shooting the algae mat off (300 damage to the mat) blinds it for 6 s (it hunts by the mat's light); the power switch cycling stuns it 2 s (once per fight). Loose cargo can be shot to drop on it (200 damage).</t>
  </si>
  <si>
    <t xml:space="preserve">Kill reward: 1,500 base scrip x tide, a guaranteed Locker weapon for each diver, the captain's safe key. It reforms in its home after 6 minutes at 50% HP.</t>
  </si>
  <si>
    <t xml:space="preserve">Team plan the doc expects: one diver baits Inhale from 4 m, two shoot the gills during the 2 s window, one handles the Groupers and cargo.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</si>
</sst>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1" min="3" style="0" width="13"/>
    <col collapsed="false" customWidth="true" hidden="false" outlineLevel="0" max="32" min="32" style="0" width="70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  <row r="2" customFormat="false" ht="15" hidden="false" customHeight="false" outlineLevel="0" collapsed="false">
      <c r="A2" s="2" t="n">
        <v>1</v>
      </c>
      <c r="B2" s="2" t="s">
        <v>39</v>
      </c>
      <c r="C2" s="2" t="s">
        <v>40</v>
      </c>
      <c r="D2" s="4" t="n">
        <v>1</v>
      </c>
      <c r="E2" s="4" t="n">
        <v>1</v>
      </c>
      <c r="F2" s="2" t="s">
        <v>41</v>
      </c>
      <c r="G2" s="2" t="s">
        <v>42</v>
      </c>
      <c r="H2" s="2" t="s">
        <v>43</v>
      </c>
      <c r="I2" s="2" t="n">
        <v>25</v>
      </c>
      <c r="J2" s="2" t="s">
        <v>44</v>
      </c>
      <c r="K2" s="2"/>
      <c r="L2" s="4" t="n">
        <v>0</v>
      </c>
      <c r="M2" s="4" t="n">
        <v>0</v>
      </c>
      <c r="N2" s="4" t="n">
        <v>0</v>
      </c>
      <c r="O2" s="4" t="n">
        <v>0.9</v>
      </c>
      <c r="P2" s="4" t="n">
        <v>0.2</v>
      </c>
      <c r="Q2" s="4" t="n">
        <v>15</v>
      </c>
      <c r="R2" s="4" t="n">
        <v>10</v>
      </c>
      <c r="S2" s="4" t="n">
        <v>20</v>
      </c>
      <c r="T2" s="4" t="n">
        <v>0</v>
      </c>
      <c r="U2" s="2" t="s">
        <v>45</v>
      </c>
      <c r="V2" s="4" t="n">
        <v>0</v>
      </c>
      <c r="W2" s="4" t="n">
        <v>20</v>
      </c>
      <c r="X2" s="4" t="n">
        <v>40</v>
      </c>
      <c r="Y2" s="2" t="n">
        <f aca="false">D2*20</f>
        <v>20</v>
      </c>
      <c r="Z2" s="2" t="n">
        <f aca="false">D2*2</f>
        <v>2</v>
      </c>
      <c r="AA2" s="4" t="n">
        <v>2.2</v>
      </c>
      <c r="AB2" s="4" t="n">
        <v>360</v>
      </c>
      <c r="AC2" s="4" t="n">
        <v>1</v>
      </c>
      <c r="AD2" s="2" t="n">
        <f aca="false">ROUND(W2*1.08^9,0)</f>
        <v>40</v>
      </c>
      <c r="AE2" s="2" t="n">
        <f aca="false">ROUND(X2*1.1^9,0)</f>
        <v>94</v>
      </c>
      <c r="AF2" s="2" t="s">
        <v>46</v>
      </c>
    </row>
    <row r="3" customFormat="false" ht="15" hidden="false" customHeight="false" outlineLevel="0" collapsed="false">
      <c r="A3" s="2" t="n">
        <v>2</v>
      </c>
      <c r="B3" s="2" t="s">
        <v>47</v>
      </c>
      <c r="C3" s="2" t="s">
        <v>40</v>
      </c>
      <c r="D3" s="4" t="n">
        <v>1</v>
      </c>
      <c r="E3" s="4" t="n">
        <v>1</v>
      </c>
      <c r="F3" s="2" t="s">
        <v>41</v>
      </c>
      <c r="G3" s="2" t="s">
        <v>42</v>
      </c>
      <c r="H3" s="2" t="s">
        <v>43</v>
      </c>
      <c r="I3" s="2" t="n">
        <v>30</v>
      </c>
      <c r="J3" s="2" t="s">
        <v>48</v>
      </c>
      <c r="K3" s="2" t="s">
        <v>49</v>
      </c>
      <c r="L3" s="4" t="n">
        <v>0</v>
      </c>
      <c r="M3" s="4" t="n">
        <v>0</v>
      </c>
      <c r="N3" s="4" t="n">
        <v>0</v>
      </c>
      <c r="O3" s="4" t="n">
        <v>0.9</v>
      </c>
      <c r="P3" s="4" t="n">
        <v>0.2</v>
      </c>
      <c r="Q3" s="4" t="n">
        <v>15</v>
      </c>
      <c r="R3" s="4" t="n">
        <v>10</v>
      </c>
      <c r="S3" s="4" t="n">
        <v>20</v>
      </c>
      <c r="T3" s="4" t="n">
        <v>0</v>
      </c>
      <c r="U3" s="2" t="s">
        <v>45</v>
      </c>
      <c r="V3" s="4" t="n">
        <v>0</v>
      </c>
      <c r="W3" s="4" t="n">
        <v>20</v>
      </c>
      <c r="X3" s="4" t="n">
        <v>40</v>
      </c>
      <c r="Y3" s="2" t="n">
        <f aca="false">D3*20</f>
        <v>20</v>
      </c>
      <c r="Z3" s="2" t="n">
        <f aca="false">D3*2</f>
        <v>2</v>
      </c>
      <c r="AA3" s="4" t="n">
        <v>2.2</v>
      </c>
      <c r="AB3" s="4" t="n">
        <v>360</v>
      </c>
      <c r="AC3" s="4" t="n">
        <v>1</v>
      </c>
      <c r="AD3" s="2" t="n">
        <f aca="false">ROUND(W3*1.08^9,0)</f>
        <v>40</v>
      </c>
      <c r="AE3" s="2" t="n">
        <f aca="false">ROUND(X3*1.1^9,0)</f>
        <v>94</v>
      </c>
      <c r="AF3" s="2" t="s">
        <v>50</v>
      </c>
    </row>
    <row r="4" customFormat="false" ht="15" hidden="false" customHeight="false" outlineLevel="0" collapsed="false">
      <c r="A4" s="2" t="n">
        <v>3</v>
      </c>
      <c r="B4" s="2" t="s">
        <v>51</v>
      </c>
      <c r="C4" s="2" t="s">
        <v>40</v>
      </c>
      <c r="D4" s="4" t="n">
        <v>1</v>
      </c>
      <c r="E4" s="4" t="n">
        <v>1</v>
      </c>
      <c r="F4" s="2" t="s">
        <v>52</v>
      </c>
      <c r="G4" s="2" t="s">
        <v>53</v>
      </c>
      <c r="H4" s="2" t="s">
        <v>54</v>
      </c>
      <c r="I4" s="2" t="n">
        <v>2</v>
      </c>
      <c r="J4" s="2" t="s">
        <v>48</v>
      </c>
      <c r="K4" s="2" t="s">
        <v>55</v>
      </c>
      <c r="L4" s="4" t="n">
        <v>3</v>
      </c>
      <c r="M4" s="4" t="n">
        <v>0</v>
      </c>
      <c r="N4" s="4" t="n">
        <v>0.3</v>
      </c>
      <c r="O4" s="4" t="n">
        <v>0.6</v>
      </c>
      <c r="P4" s="4" t="n">
        <v>0.3</v>
      </c>
      <c r="Q4" s="4" t="n">
        <v>12</v>
      </c>
      <c r="R4" s="4" t="n">
        <v>8</v>
      </c>
      <c r="S4" s="4" t="n">
        <v>10</v>
      </c>
      <c r="T4" s="4" t="n">
        <v>0</v>
      </c>
      <c r="U4" s="2" t="s">
        <v>45</v>
      </c>
      <c r="V4" s="4" t="n">
        <v>0</v>
      </c>
      <c r="W4" s="4" t="n">
        <v>20</v>
      </c>
      <c r="X4" s="4" t="n">
        <v>40</v>
      </c>
      <c r="Y4" s="2" t="n">
        <f aca="false">D4*20</f>
        <v>20</v>
      </c>
      <c r="Z4" s="2" t="n">
        <f aca="false">D4*2</f>
        <v>2</v>
      </c>
      <c r="AA4" s="4" t="n">
        <v>2.2</v>
      </c>
      <c r="AB4" s="4" t="n">
        <v>360</v>
      </c>
      <c r="AC4" s="4" t="n">
        <v>1</v>
      </c>
      <c r="AD4" s="2" t="n">
        <f aca="false">ROUND(W4*1.08^9,0)</f>
        <v>40</v>
      </c>
      <c r="AE4" s="2" t="n">
        <f aca="false">ROUND(X4*1.1^9,0)</f>
        <v>94</v>
      </c>
      <c r="AF4" s="2" t="s">
        <v>56</v>
      </c>
    </row>
    <row r="5" customFormat="false" ht="15" hidden="false" customHeight="false" outlineLevel="0" collapsed="false">
      <c r="A5" s="2" t="n">
        <v>4</v>
      </c>
      <c r="B5" s="2" t="s">
        <v>57</v>
      </c>
      <c r="C5" s="2" t="s">
        <v>40</v>
      </c>
      <c r="D5" s="4" t="n">
        <v>1</v>
      </c>
      <c r="E5" s="4" t="n">
        <v>1</v>
      </c>
      <c r="F5" s="2"/>
      <c r="G5" s="2" t="s">
        <v>58</v>
      </c>
      <c r="H5" s="2" t="s">
        <v>59</v>
      </c>
      <c r="I5" s="2" t="n">
        <v>1</v>
      </c>
      <c r="J5" s="2" t="s">
        <v>60</v>
      </c>
      <c r="K5" s="2"/>
      <c r="L5" s="4" t="n">
        <v>0</v>
      </c>
      <c r="M5" s="4" t="n">
        <v>0</v>
      </c>
      <c r="N5" s="4" t="n">
        <v>0</v>
      </c>
      <c r="O5" s="4" t="n">
        <v>0.9</v>
      </c>
      <c r="P5" s="4" t="n">
        <v>0.2</v>
      </c>
      <c r="Q5" s="4" t="n">
        <v>8</v>
      </c>
      <c r="R5" s="4" t="n">
        <v>6</v>
      </c>
      <c r="S5" s="4" t="n">
        <v>10</v>
      </c>
      <c r="T5" s="4" t="n">
        <v>0</v>
      </c>
      <c r="U5" s="2" t="s">
        <v>45</v>
      </c>
      <c r="V5" s="4" t="n">
        <v>0</v>
      </c>
      <c r="W5" s="4" t="n">
        <v>20</v>
      </c>
      <c r="X5" s="4" t="n">
        <v>40</v>
      </c>
      <c r="Y5" s="2" t="n">
        <f aca="false">D5*20</f>
        <v>20</v>
      </c>
      <c r="Z5" s="2" t="n">
        <f aca="false">D5*2</f>
        <v>2</v>
      </c>
      <c r="AA5" s="4" t="n">
        <v>2.2</v>
      </c>
      <c r="AB5" s="4" t="n">
        <v>360</v>
      </c>
      <c r="AC5" s="4" t="n">
        <v>1</v>
      </c>
      <c r="AD5" s="2" t="n">
        <f aca="false">ROUND(W5*1.08^9,0)</f>
        <v>40</v>
      </c>
      <c r="AE5" s="2" t="n">
        <f aca="false">ROUND(X5*1.1^9,0)</f>
        <v>94</v>
      </c>
      <c r="AF5" s="2" t="s">
        <v>61</v>
      </c>
    </row>
    <row r="6" customFormat="false" ht="15" hidden="false" customHeight="false" outlineLevel="0" collapsed="false">
      <c r="A6" s="2" t="n">
        <v>5</v>
      </c>
      <c r="B6" s="2" t="s">
        <v>62</v>
      </c>
      <c r="C6" s="2" t="s">
        <v>40</v>
      </c>
      <c r="D6" s="4" t="n">
        <v>1</v>
      </c>
      <c r="E6" s="4" t="n">
        <v>0</v>
      </c>
      <c r="F6" s="2" t="s">
        <v>63</v>
      </c>
      <c r="G6" s="2" t="s">
        <v>58</v>
      </c>
      <c r="H6" s="2" t="s">
        <v>59</v>
      </c>
      <c r="I6" s="2" t="n">
        <v>1</v>
      </c>
      <c r="J6" s="2" t="s">
        <v>64</v>
      </c>
      <c r="K6" s="2"/>
      <c r="L6" s="4" t="n">
        <v>0</v>
      </c>
      <c r="M6" s="4" t="n">
        <v>0</v>
      </c>
      <c r="N6" s="4" t="n">
        <v>0</v>
      </c>
      <c r="O6" s="4" t="n">
        <v>0.6</v>
      </c>
      <c r="P6" s="4" t="n">
        <v>0.5</v>
      </c>
      <c r="Q6" s="4" t="n">
        <v>10</v>
      </c>
      <c r="R6" s="4" t="n">
        <v>8</v>
      </c>
      <c r="S6" s="4" t="n">
        <v>10</v>
      </c>
      <c r="T6" s="4" t="n">
        <v>0</v>
      </c>
      <c r="U6" s="2" t="s">
        <v>45</v>
      </c>
      <c r="V6" s="4" t="n">
        <v>0</v>
      </c>
      <c r="W6" s="4" t="n">
        <v>20</v>
      </c>
      <c r="X6" s="4" t="n">
        <v>40</v>
      </c>
      <c r="Y6" s="2" t="n">
        <f aca="false">D6*20</f>
        <v>20</v>
      </c>
      <c r="Z6" s="2" t="n">
        <f aca="false">D6*2</f>
        <v>2</v>
      </c>
      <c r="AA6" s="4" t="n">
        <v>2.2</v>
      </c>
      <c r="AB6" s="4" t="n">
        <v>360</v>
      </c>
      <c r="AC6" s="4" t="n">
        <v>0</v>
      </c>
      <c r="AD6" s="2" t="n">
        <f aca="false">ROUND(W6*1.08^9,0)</f>
        <v>40</v>
      </c>
      <c r="AE6" s="2" t="n">
        <f aca="false">ROUND(X6*1.1^9,0)</f>
        <v>94</v>
      </c>
      <c r="AF6" s="2" t="s">
        <v>65</v>
      </c>
    </row>
    <row r="7" customFormat="false" ht="15" hidden="false" customHeight="false" outlineLevel="0" collapsed="false">
      <c r="A7" s="2" t="n">
        <v>6</v>
      </c>
      <c r="B7" s="2" t="s">
        <v>66</v>
      </c>
      <c r="C7" s="2" t="s">
        <v>67</v>
      </c>
      <c r="D7" s="4" t="n">
        <v>1</v>
      </c>
      <c r="E7" s="4" t="n">
        <v>0</v>
      </c>
      <c r="F7" s="2" t="s">
        <v>63</v>
      </c>
      <c r="G7" s="2" t="s">
        <v>58</v>
      </c>
      <c r="H7" s="2" t="s">
        <v>68</v>
      </c>
      <c r="I7" s="2" t="n">
        <v>6</v>
      </c>
      <c r="J7" s="2" t="s">
        <v>64</v>
      </c>
      <c r="K7" s="2" t="s">
        <v>69</v>
      </c>
      <c r="L7" s="4" t="n">
        <v>0</v>
      </c>
      <c r="M7" s="4" t="n">
        <v>0</v>
      </c>
      <c r="N7" s="4" t="n">
        <v>0</v>
      </c>
      <c r="O7" s="4" t="n">
        <v>0.6</v>
      </c>
      <c r="P7" s="4" t="n">
        <v>0.5</v>
      </c>
      <c r="Q7" s="4" t="n">
        <v>6</v>
      </c>
      <c r="R7" s="4" t="n">
        <v>6</v>
      </c>
      <c r="S7" s="4" t="n">
        <v>6</v>
      </c>
      <c r="T7" s="4" t="n">
        <v>0</v>
      </c>
      <c r="U7" s="2" t="s">
        <v>45</v>
      </c>
      <c r="V7" s="4" t="n">
        <v>0</v>
      </c>
      <c r="W7" s="4" t="n">
        <v>20</v>
      </c>
      <c r="X7" s="4" t="n">
        <v>40</v>
      </c>
      <c r="Y7" s="2" t="n">
        <f aca="false">D7*20</f>
        <v>20</v>
      </c>
      <c r="Z7" s="2" t="n">
        <f aca="false">D7*2</f>
        <v>2</v>
      </c>
      <c r="AA7" s="4" t="n">
        <v>2.2</v>
      </c>
      <c r="AB7" s="4" t="n">
        <v>360</v>
      </c>
      <c r="AC7" s="4" t="n">
        <v>0</v>
      </c>
      <c r="AD7" s="2" t="n">
        <f aca="false">ROUND(W7*1.08^9,0)</f>
        <v>40</v>
      </c>
      <c r="AE7" s="2" t="n">
        <f aca="false">ROUND(X7*1.1^9,0)</f>
        <v>94</v>
      </c>
      <c r="AF7" s="2" t="s">
        <v>70</v>
      </c>
    </row>
    <row r="8" customFormat="false" ht="15" hidden="false" customHeight="false" outlineLevel="0" collapsed="false">
      <c r="A8" s="2" t="n">
        <v>7</v>
      </c>
      <c r="B8" s="2" t="s">
        <v>71</v>
      </c>
      <c r="C8" s="2" t="s">
        <v>67</v>
      </c>
      <c r="D8" s="4" t="n">
        <v>1</v>
      </c>
      <c r="E8" s="4" t="n">
        <v>1</v>
      </c>
      <c r="F8" s="2"/>
      <c r="G8" s="2" t="s">
        <v>58</v>
      </c>
      <c r="H8" s="2" t="s">
        <v>68</v>
      </c>
      <c r="I8" s="2" t="n">
        <v>8</v>
      </c>
      <c r="J8" s="2" t="s">
        <v>48</v>
      </c>
      <c r="K8" s="2"/>
      <c r="L8" s="4" t="n">
        <v>0</v>
      </c>
      <c r="M8" s="4" t="n">
        <v>0</v>
      </c>
      <c r="N8" s="4" t="n">
        <v>0</v>
      </c>
      <c r="O8" s="4" t="n">
        <v>0.9</v>
      </c>
      <c r="P8" s="4" t="n">
        <v>0.2</v>
      </c>
      <c r="Q8" s="4" t="n">
        <v>8</v>
      </c>
      <c r="R8" s="4" t="n">
        <v>6</v>
      </c>
      <c r="S8" s="4" t="n">
        <v>8</v>
      </c>
      <c r="T8" s="4" t="n">
        <v>0</v>
      </c>
      <c r="U8" s="2" t="s">
        <v>72</v>
      </c>
      <c r="V8" s="4" t="n">
        <v>1</v>
      </c>
      <c r="W8" s="4" t="n">
        <v>20</v>
      </c>
      <c r="X8" s="4" t="n">
        <v>40</v>
      </c>
      <c r="Y8" s="2" t="n">
        <f aca="false">D8*20</f>
        <v>20</v>
      </c>
      <c r="Z8" s="2" t="n">
        <f aca="false">D8*2</f>
        <v>2</v>
      </c>
      <c r="AA8" s="4" t="n">
        <v>2.2</v>
      </c>
      <c r="AB8" s="4" t="n">
        <v>360</v>
      </c>
      <c r="AC8" s="4" t="n">
        <v>2</v>
      </c>
      <c r="AD8" s="2" t="n">
        <f aca="false">ROUND(W8*1.08^9,0)</f>
        <v>40</v>
      </c>
      <c r="AE8" s="2" t="n">
        <f aca="false">ROUND(X8*1.1^9,0)</f>
        <v>94</v>
      </c>
      <c r="AF8" s="2" t="s">
        <v>73</v>
      </c>
    </row>
    <row r="9" customFormat="false" ht="15" hidden="false" customHeight="false" outlineLevel="0" collapsed="false">
      <c r="A9" s="2" t="n">
        <v>8</v>
      </c>
      <c r="B9" s="2" t="s">
        <v>74</v>
      </c>
      <c r="C9" s="2" t="s">
        <v>67</v>
      </c>
      <c r="D9" s="4" t="n">
        <v>1</v>
      </c>
      <c r="E9" s="4" t="n">
        <v>1</v>
      </c>
      <c r="F9" s="2" t="s">
        <v>75</v>
      </c>
      <c r="G9" s="2" t="s">
        <v>58</v>
      </c>
      <c r="H9" s="2" t="s">
        <v>68</v>
      </c>
      <c r="I9" s="2" t="n">
        <v>6</v>
      </c>
      <c r="J9" s="2" t="s">
        <v>48</v>
      </c>
      <c r="K9" s="2"/>
      <c r="L9" s="4" t="n">
        <v>0</v>
      </c>
      <c r="M9" s="4" t="n">
        <v>5</v>
      </c>
      <c r="N9" s="4" t="n">
        <v>0</v>
      </c>
      <c r="O9" s="4" t="n">
        <v>0.7</v>
      </c>
      <c r="P9" s="4" t="n">
        <v>0.3</v>
      </c>
      <c r="Q9" s="4" t="n">
        <v>6</v>
      </c>
      <c r="R9" s="4" t="n">
        <v>15</v>
      </c>
      <c r="S9" s="4" t="n">
        <v>6</v>
      </c>
      <c r="T9" s="4" t="n">
        <v>0</v>
      </c>
      <c r="U9" s="2" t="s">
        <v>72</v>
      </c>
      <c r="V9" s="4" t="n">
        <v>1</v>
      </c>
      <c r="W9" s="4" t="n">
        <v>20</v>
      </c>
      <c r="X9" s="4" t="n">
        <v>40</v>
      </c>
      <c r="Y9" s="2" t="n">
        <f aca="false">D9*20</f>
        <v>20</v>
      </c>
      <c r="Z9" s="2" t="n">
        <f aca="false">D9*2</f>
        <v>2</v>
      </c>
      <c r="AA9" s="4" t="n">
        <v>2.2</v>
      </c>
      <c r="AB9" s="4" t="n">
        <v>360</v>
      </c>
      <c r="AC9" s="4" t="n">
        <v>2</v>
      </c>
      <c r="AD9" s="2" t="n">
        <f aca="false">ROUND(W9*1.08^9,0)</f>
        <v>40</v>
      </c>
      <c r="AE9" s="2" t="n">
        <f aca="false">ROUND(X9*1.1^9,0)</f>
        <v>94</v>
      </c>
      <c r="AF9" s="2" t="s">
        <v>76</v>
      </c>
    </row>
    <row r="10" customFormat="false" ht="15" hidden="false" customHeight="false" outlineLevel="0" collapsed="false">
      <c r="A10" s="2" t="n">
        <v>9</v>
      </c>
      <c r="B10" s="2" t="s">
        <v>77</v>
      </c>
      <c r="C10" s="2" t="s">
        <v>78</v>
      </c>
      <c r="D10" s="4" t="n">
        <v>1</v>
      </c>
      <c r="E10" s="4" t="n">
        <v>1</v>
      </c>
      <c r="F10" s="2"/>
      <c r="G10" s="2" t="s">
        <v>58</v>
      </c>
      <c r="H10" s="2" t="s">
        <v>59</v>
      </c>
      <c r="I10" s="2" t="n">
        <v>1</v>
      </c>
      <c r="J10" s="2" t="s">
        <v>48</v>
      </c>
      <c r="K10" s="2" t="s">
        <v>79</v>
      </c>
      <c r="L10" s="4" t="n">
        <v>0</v>
      </c>
      <c r="M10" s="4" t="n">
        <v>0</v>
      </c>
      <c r="N10" s="4" t="n">
        <v>0</v>
      </c>
      <c r="O10" s="4" t="n">
        <v>0.2</v>
      </c>
      <c r="P10" s="4" t="n">
        <v>0.1</v>
      </c>
      <c r="Q10" s="4" t="n">
        <v>3</v>
      </c>
      <c r="R10" s="4" t="n">
        <v>4</v>
      </c>
      <c r="S10" s="4" t="n">
        <v>3</v>
      </c>
      <c r="T10" s="4" t="n">
        <v>0</v>
      </c>
      <c r="U10" s="2" t="s">
        <v>45</v>
      </c>
      <c r="V10" s="4" t="n">
        <v>1</v>
      </c>
      <c r="W10" s="4" t="n">
        <v>20</v>
      </c>
      <c r="X10" s="4" t="n">
        <v>40</v>
      </c>
      <c r="Y10" s="2" t="n">
        <f aca="false">D10*20</f>
        <v>20</v>
      </c>
      <c r="Z10" s="2" t="n">
        <f aca="false">D10*2</f>
        <v>2</v>
      </c>
      <c r="AA10" s="4" t="n">
        <v>2.2</v>
      </c>
      <c r="AB10" s="4" t="n">
        <v>360</v>
      </c>
      <c r="AC10" s="4" t="n">
        <v>3</v>
      </c>
      <c r="AD10" s="2" t="n">
        <f aca="false">ROUND(W10*1.08^9,0)</f>
        <v>40</v>
      </c>
      <c r="AE10" s="2" t="n">
        <f aca="false">ROUND(X10*1.1^9,0)</f>
        <v>94</v>
      </c>
      <c r="AF10" s="2" t="s">
        <v>80</v>
      </c>
    </row>
    <row r="11" customFormat="false" ht="15" hidden="false" customHeight="false" outlineLevel="0" collapsed="false">
      <c r="A11" s="2" t="n">
        <v>10</v>
      </c>
      <c r="B11" s="2" t="s">
        <v>81</v>
      </c>
      <c r="C11" s="2" t="s">
        <v>78</v>
      </c>
      <c r="D11" s="4" t="n">
        <v>2</v>
      </c>
      <c r="E11" s="4" t="n">
        <v>1</v>
      </c>
      <c r="F11" s="2" t="s">
        <v>82</v>
      </c>
      <c r="G11" s="2" t="s">
        <v>58</v>
      </c>
      <c r="H11" s="2" t="s">
        <v>59</v>
      </c>
      <c r="I11" s="2" t="n">
        <v>1</v>
      </c>
      <c r="J11" s="2" t="s">
        <v>44</v>
      </c>
      <c r="K11" s="2" t="s">
        <v>83</v>
      </c>
      <c r="L11" s="4" t="n">
        <v>0</v>
      </c>
      <c r="M11" s="4" t="n">
        <v>0</v>
      </c>
      <c r="N11" s="4" t="n">
        <v>0</v>
      </c>
      <c r="O11" s="4" t="n">
        <v>0.5</v>
      </c>
      <c r="P11" s="4" t="n">
        <v>0.2</v>
      </c>
      <c r="Q11" s="4" t="n">
        <v>5</v>
      </c>
      <c r="R11" s="4" t="n">
        <v>6</v>
      </c>
      <c r="S11" s="4" t="n">
        <v>5</v>
      </c>
      <c r="T11" s="4" t="n">
        <v>0</v>
      </c>
      <c r="U11" s="2" t="s">
        <v>45</v>
      </c>
      <c r="V11" s="4" t="n">
        <v>0</v>
      </c>
      <c r="W11" s="4" t="n">
        <v>60</v>
      </c>
      <c r="X11" s="4" t="n">
        <v>80</v>
      </c>
      <c r="Y11" s="2" t="n">
        <f aca="false">D11*20</f>
        <v>40</v>
      </c>
      <c r="Z11" s="2" t="n">
        <f aca="false">D11*2</f>
        <v>4</v>
      </c>
      <c r="AA11" s="4" t="n">
        <v>2</v>
      </c>
      <c r="AB11" s="4" t="n">
        <v>300</v>
      </c>
      <c r="AC11" s="4" t="n">
        <v>3</v>
      </c>
      <c r="AD11" s="2" t="n">
        <f aca="false">ROUND(W11*1.08^9,0)</f>
        <v>120</v>
      </c>
      <c r="AE11" s="2" t="n">
        <f aca="false">ROUND(X11*1.1^9,0)</f>
        <v>189</v>
      </c>
      <c r="AF11" s="2" t="s">
        <v>84</v>
      </c>
    </row>
    <row r="12" customFormat="false" ht="15" hidden="false" customHeight="false" outlineLevel="0" collapsed="false">
      <c r="A12" s="2" t="n">
        <v>11</v>
      </c>
      <c r="B12" s="2" t="s">
        <v>85</v>
      </c>
      <c r="C12" s="2" t="s">
        <v>86</v>
      </c>
      <c r="D12" s="4" t="n">
        <v>1</v>
      </c>
      <c r="E12" s="4" t="n">
        <v>1</v>
      </c>
      <c r="F12" s="2" t="s">
        <v>87</v>
      </c>
      <c r="G12" s="2" t="s">
        <v>58</v>
      </c>
      <c r="H12" s="2" t="s">
        <v>59</v>
      </c>
      <c r="I12" s="2" t="n">
        <v>1</v>
      </c>
      <c r="J12" s="2" t="s">
        <v>60</v>
      </c>
      <c r="K12" s="2"/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6</v>
      </c>
      <c r="R12" s="4" t="n">
        <v>0</v>
      </c>
      <c r="S12" s="4" t="n">
        <v>8</v>
      </c>
      <c r="T12" s="4" t="n">
        <v>0</v>
      </c>
      <c r="U12" s="2" t="s">
        <v>45</v>
      </c>
      <c r="V12" s="4" t="n">
        <v>0</v>
      </c>
      <c r="W12" s="4" t="n">
        <v>20</v>
      </c>
      <c r="X12" s="4" t="n">
        <v>40</v>
      </c>
      <c r="Y12" s="2" t="n">
        <f aca="false">D12*20</f>
        <v>20</v>
      </c>
      <c r="Z12" s="2" t="n">
        <f aca="false">D12*2</f>
        <v>2</v>
      </c>
      <c r="AA12" s="4" t="n">
        <v>2.2</v>
      </c>
      <c r="AB12" s="4" t="n">
        <v>360</v>
      </c>
      <c r="AC12" s="4" t="n">
        <v>0</v>
      </c>
      <c r="AD12" s="2" t="n">
        <f aca="false">ROUND(W12*1.08^9,0)</f>
        <v>40</v>
      </c>
      <c r="AE12" s="2" t="n">
        <f aca="false">ROUND(X12*1.1^9,0)</f>
        <v>94</v>
      </c>
      <c r="AF12" s="2" t="s">
        <v>88</v>
      </c>
    </row>
    <row r="13" customFormat="false" ht="15" hidden="false" customHeight="false" outlineLevel="0" collapsed="false">
      <c r="A13" s="2" t="n">
        <v>12</v>
      </c>
      <c r="B13" s="2" t="s">
        <v>89</v>
      </c>
      <c r="C13" s="2" t="s">
        <v>67</v>
      </c>
      <c r="D13" s="4" t="n">
        <v>1</v>
      </c>
      <c r="E13" s="4" t="n">
        <v>1</v>
      </c>
      <c r="F13" s="2" t="s">
        <v>90</v>
      </c>
      <c r="G13" s="2" t="s">
        <v>91</v>
      </c>
      <c r="H13" s="2" t="s">
        <v>90</v>
      </c>
      <c r="I13" s="2" t="n">
        <v>200</v>
      </c>
      <c r="J13" s="2" t="s">
        <v>92</v>
      </c>
      <c r="K13" s="2" t="s">
        <v>93</v>
      </c>
      <c r="L13" s="4" t="n">
        <v>0</v>
      </c>
      <c r="M13" s="4" t="n">
        <v>0</v>
      </c>
      <c r="N13" s="4" t="n">
        <v>0</v>
      </c>
      <c r="O13" s="4" t="n">
        <v>0.8</v>
      </c>
      <c r="P13" s="4" t="n">
        <v>0.5</v>
      </c>
      <c r="Q13" s="4" t="n">
        <v>4</v>
      </c>
      <c r="R13" s="4" t="n">
        <v>4</v>
      </c>
      <c r="S13" s="4" t="n">
        <v>4</v>
      </c>
      <c r="T13" s="4" t="n">
        <v>0</v>
      </c>
      <c r="U13" s="2" t="s">
        <v>45</v>
      </c>
      <c r="V13" s="4" t="n">
        <v>0</v>
      </c>
      <c r="W13" s="4" t="n">
        <v>20</v>
      </c>
      <c r="X13" s="4" t="n">
        <v>40</v>
      </c>
      <c r="Y13" s="2" t="n">
        <f aca="false">D13*20</f>
        <v>20</v>
      </c>
      <c r="Z13" s="2" t="n">
        <f aca="false">D13*2</f>
        <v>2</v>
      </c>
      <c r="AA13" s="4" t="n">
        <v>2.2</v>
      </c>
      <c r="AB13" s="4" t="n">
        <v>360</v>
      </c>
      <c r="AC13" s="4" t="n">
        <v>0</v>
      </c>
      <c r="AD13" s="2" t="n">
        <f aca="false">ROUND(W13*1.08^9,0)</f>
        <v>40</v>
      </c>
      <c r="AE13" s="2" t="n">
        <f aca="false">ROUND(X13*1.1^9,0)</f>
        <v>94</v>
      </c>
      <c r="AF13" s="2" t="s">
        <v>94</v>
      </c>
    </row>
    <row r="14" customFormat="false" ht="15" hidden="false" customHeight="false" outlineLevel="0" collapsed="false">
      <c r="A14" s="2" t="n">
        <v>13</v>
      </c>
      <c r="B14" s="2" t="s">
        <v>95</v>
      </c>
      <c r="C14" s="2" t="s">
        <v>40</v>
      </c>
      <c r="D14" s="4" t="n">
        <v>2</v>
      </c>
      <c r="E14" s="4" t="n">
        <v>1</v>
      </c>
      <c r="F14" s="2"/>
      <c r="G14" s="2" t="s">
        <v>58</v>
      </c>
      <c r="H14" s="2" t="s">
        <v>68</v>
      </c>
      <c r="I14" s="2" t="n">
        <v>4</v>
      </c>
      <c r="J14" s="2" t="s">
        <v>48</v>
      </c>
      <c r="K14" s="2" t="s">
        <v>55</v>
      </c>
      <c r="L14" s="4" t="n">
        <v>0</v>
      </c>
      <c r="M14" s="4" t="n">
        <v>0</v>
      </c>
      <c r="N14" s="4" t="n">
        <v>0</v>
      </c>
      <c r="O14" s="4" t="n">
        <v>0.8</v>
      </c>
      <c r="P14" s="4" t="n">
        <v>0.2</v>
      </c>
      <c r="Q14" s="4" t="n">
        <v>12</v>
      </c>
      <c r="R14" s="4" t="n">
        <v>8</v>
      </c>
      <c r="S14" s="4" t="n">
        <v>12</v>
      </c>
      <c r="T14" s="4" t="n">
        <v>0</v>
      </c>
      <c r="U14" s="2" t="s">
        <v>96</v>
      </c>
      <c r="V14" s="4" t="n">
        <v>0</v>
      </c>
      <c r="W14" s="4" t="n">
        <v>60</v>
      </c>
      <c r="X14" s="4" t="n">
        <v>80</v>
      </c>
      <c r="Y14" s="2" t="n">
        <f aca="false">D14*20</f>
        <v>40</v>
      </c>
      <c r="Z14" s="2" t="n">
        <f aca="false">D14*2</f>
        <v>4</v>
      </c>
      <c r="AA14" s="4" t="n">
        <v>2</v>
      </c>
      <c r="AB14" s="4" t="n">
        <v>300</v>
      </c>
      <c r="AC14" s="4" t="n">
        <v>3</v>
      </c>
      <c r="AD14" s="2" t="n">
        <f aca="false">ROUND(W14*1.08^9,0)</f>
        <v>120</v>
      </c>
      <c r="AE14" s="2" t="n">
        <f aca="false">ROUND(X14*1.1^9,0)</f>
        <v>189</v>
      </c>
      <c r="AF14" s="2" t="s">
        <v>97</v>
      </c>
    </row>
    <row r="15" customFormat="false" ht="15" hidden="false" customHeight="false" outlineLevel="0" collapsed="false">
      <c r="A15" s="2" t="n">
        <v>14</v>
      </c>
      <c r="B15" s="2" t="s">
        <v>98</v>
      </c>
      <c r="C15" s="2" t="s">
        <v>40</v>
      </c>
      <c r="D15" s="4" t="n">
        <v>2</v>
      </c>
      <c r="E15" s="4" t="n">
        <v>1</v>
      </c>
      <c r="F15" s="2" t="s">
        <v>99</v>
      </c>
      <c r="G15" s="2" t="s">
        <v>58</v>
      </c>
      <c r="H15" s="2" t="s">
        <v>68</v>
      </c>
      <c r="I15" s="2" t="n">
        <v>5</v>
      </c>
      <c r="J15" s="2" t="s">
        <v>44</v>
      </c>
      <c r="K15" s="2" t="s">
        <v>83</v>
      </c>
      <c r="L15" s="4" t="n">
        <v>0</v>
      </c>
      <c r="M15" s="4" t="n">
        <v>0</v>
      </c>
      <c r="N15" s="4" t="n">
        <v>0</v>
      </c>
      <c r="O15" s="4" t="n">
        <v>0.8</v>
      </c>
      <c r="P15" s="4" t="n">
        <v>0.2</v>
      </c>
      <c r="Q15" s="4" t="n">
        <v>12</v>
      </c>
      <c r="R15" s="4" t="n">
        <v>8</v>
      </c>
      <c r="S15" s="4" t="n">
        <v>12</v>
      </c>
      <c r="T15" s="4" t="n">
        <v>0</v>
      </c>
      <c r="U15" s="2" t="s">
        <v>96</v>
      </c>
      <c r="V15" s="4" t="n">
        <v>0</v>
      </c>
      <c r="W15" s="4" t="n">
        <v>60</v>
      </c>
      <c r="X15" s="4" t="n">
        <v>80</v>
      </c>
      <c r="Y15" s="2" t="n">
        <f aca="false">D15*20</f>
        <v>40</v>
      </c>
      <c r="Z15" s="2" t="n">
        <f aca="false">D15*2</f>
        <v>4</v>
      </c>
      <c r="AA15" s="4" t="n">
        <v>2</v>
      </c>
      <c r="AB15" s="4" t="n">
        <v>300</v>
      </c>
      <c r="AC15" s="4" t="n">
        <v>3</v>
      </c>
      <c r="AD15" s="2" t="n">
        <f aca="false">ROUND(W15*1.08^9,0)</f>
        <v>120</v>
      </c>
      <c r="AE15" s="2" t="n">
        <f aca="false">ROUND(X15*1.1^9,0)</f>
        <v>189</v>
      </c>
      <c r="AF15" s="2" t="s">
        <v>100</v>
      </c>
    </row>
    <row r="16" customFormat="false" ht="15" hidden="false" customHeight="false" outlineLevel="0" collapsed="false">
      <c r="A16" s="2" t="n">
        <v>15</v>
      </c>
      <c r="B16" s="2" t="s">
        <v>101</v>
      </c>
      <c r="C16" s="2" t="s">
        <v>40</v>
      </c>
      <c r="D16" s="4" t="n">
        <v>1</v>
      </c>
      <c r="E16" s="4" t="n">
        <v>2</v>
      </c>
      <c r="F16" s="2" t="s">
        <v>52</v>
      </c>
      <c r="G16" s="2" t="s">
        <v>53</v>
      </c>
      <c r="H16" s="2" t="s">
        <v>68</v>
      </c>
      <c r="I16" s="2" t="n">
        <v>6</v>
      </c>
      <c r="J16" s="2" t="s">
        <v>48</v>
      </c>
      <c r="K16" s="2" t="s">
        <v>55</v>
      </c>
      <c r="L16" s="4" t="n">
        <v>4</v>
      </c>
      <c r="M16" s="4" t="n">
        <v>0</v>
      </c>
      <c r="N16" s="4" t="n">
        <v>0.6</v>
      </c>
      <c r="O16" s="4" t="n">
        <v>0.3</v>
      </c>
      <c r="P16" s="4" t="n">
        <v>0.4</v>
      </c>
      <c r="Q16" s="4" t="n">
        <v>10</v>
      </c>
      <c r="R16" s="4" t="n">
        <v>6</v>
      </c>
      <c r="S16" s="4" t="n">
        <v>10</v>
      </c>
      <c r="T16" s="4" t="n">
        <v>0</v>
      </c>
      <c r="U16" s="2" t="s">
        <v>45</v>
      </c>
      <c r="V16" s="4" t="n">
        <v>0</v>
      </c>
      <c r="W16" s="4" t="n">
        <v>20</v>
      </c>
      <c r="X16" s="4" t="n">
        <v>40</v>
      </c>
      <c r="Y16" s="2" t="n">
        <f aca="false">D16*20</f>
        <v>20</v>
      </c>
      <c r="Z16" s="2" t="n">
        <f aca="false">D16*2</f>
        <v>2</v>
      </c>
      <c r="AA16" s="4" t="n">
        <v>2.2</v>
      </c>
      <c r="AB16" s="4" t="n">
        <v>360</v>
      </c>
      <c r="AC16" s="4" t="n">
        <v>2</v>
      </c>
      <c r="AD16" s="2" t="n">
        <f aca="false">ROUND(W16*1.08^9,0)</f>
        <v>40</v>
      </c>
      <c r="AE16" s="2" t="n">
        <f aca="false">ROUND(X16*1.1^9,0)</f>
        <v>94</v>
      </c>
      <c r="AF16" s="2" t="s">
        <v>102</v>
      </c>
    </row>
    <row r="17" customFormat="false" ht="15" hidden="false" customHeight="false" outlineLevel="0" collapsed="false">
      <c r="A17" s="2" t="n">
        <v>16</v>
      </c>
      <c r="B17" s="2" t="s">
        <v>103</v>
      </c>
      <c r="C17" s="2" t="s">
        <v>40</v>
      </c>
      <c r="D17" s="4" t="n">
        <v>1</v>
      </c>
      <c r="E17" s="4" t="n">
        <v>2</v>
      </c>
      <c r="F17" s="2"/>
      <c r="G17" s="2" t="s">
        <v>104</v>
      </c>
      <c r="H17" s="2" t="s">
        <v>59</v>
      </c>
      <c r="I17" s="2" t="n">
        <v>1</v>
      </c>
      <c r="J17" s="2" t="s">
        <v>60</v>
      </c>
      <c r="K17" s="2"/>
      <c r="L17" s="4" t="n">
        <v>0</v>
      </c>
      <c r="M17" s="4" t="n">
        <v>0</v>
      </c>
      <c r="N17" s="4" t="n">
        <v>0.2</v>
      </c>
      <c r="O17" s="4" t="n">
        <v>0.8</v>
      </c>
      <c r="P17" s="4" t="n">
        <v>0.3</v>
      </c>
      <c r="Q17" s="4" t="n">
        <v>8</v>
      </c>
      <c r="R17" s="4" t="n">
        <v>6</v>
      </c>
      <c r="S17" s="4" t="n">
        <v>8</v>
      </c>
      <c r="T17" s="4" t="n">
        <v>0</v>
      </c>
      <c r="U17" s="2" t="s">
        <v>45</v>
      </c>
      <c r="V17" s="4" t="n">
        <v>0</v>
      </c>
      <c r="W17" s="4" t="n">
        <v>20</v>
      </c>
      <c r="X17" s="4" t="n">
        <v>40</v>
      </c>
      <c r="Y17" s="2" t="n">
        <f aca="false">D17*20</f>
        <v>20</v>
      </c>
      <c r="Z17" s="2" t="n">
        <f aca="false">D17*2</f>
        <v>2</v>
      </c>
      <c r="AA17" s="4" t="n">
        <v>2.2</v>
      </c>
      <c r="AB17" s="4" t="n">
        <v>360</v>
      </c>
      <c r="AC17" s="4" t="n">
        <v>2</v>
      </c>
      <c r="AD17" s="2" t="n">
        <f aca="false">ROUND(W17*1.08^9,0)</f>
        <v>40</v>
      </c>
      <c r="AE17" s="2" t="n">
        <f aca="false">ROUND(X17*1.1^9,0)</f>
        <v>94</v>
      </c>
      <c r="AF17" s="2" t="s">
        <v>105</v>
      </c>
    </row>
    <row r="18" customFormat="false" ht="15" hidden="false" customHeight="false" outlineLevel="0" collapsed="false">
      <c r="A18" s="2" t="n">
        <v>17</v>
      </c>
      <c r="B18" s="2" t="s">
        <v>106</v>
      </c>
      <c r="C18" s="2" t="s">
        <v>67</v>
      </c>
      <c r="D18" s="4" t="n">
        <v>1</v>
      </c>
      <c r="E18" s="4" t="n">
        <v>2</v>
      </c>
      <c r="F18" s="2"/>
      <c r="G18" s="2" t="s">
        <v>58</v>
      </c>
      <c r="H18" s="2" t="s">
        <v>59</v>
      </c>
      <c r="I18" s="2" t="n">
        <v>1</v>
      </c>
      <c r="J18" s="2" t="s">
        <v>60</v>
      </c>
      <c r="K18" s="2" t="s">
        <v>107</v>
      </c>
      <c r="L18" s="4" t="n">
        <v>0</v>
      </c>
      <c r="M18" s="4" t="n">
        <v>0</v>
      </c>
      <c r="N18" s="4" t="n">
        <v>0</v>
      </c>
      <c r="O18" s="4" t="n">
        <v>0.7</v>
      </c>
      <c r="P18" s="4" t="n">
        <v>0.3</v>
      </c>
      <c r="Q18" s="4" t="n">
        <v>6</v>
      </c>
      <c r="R18" s="4" t="n">
        <v>6</v>
      </c>
      <c r="S18" s="4" t="n">
        <v>6</v>
      </c>
      <c r="T18" s="4" t="n">
        <v>0</v>
      </c>
      <c r="U18" s="2" t="s">
        <v>72</v>
      </c>
      <c r="V18" s="4" t="n">
        <v>1</v>
      </c>
      <c r="W18" s="4" t="n">
        <v>20</v>
      </c>
      <c r="X18" s="4" t="n">
        <v>40</v>
      </c>
      <c r="Y18" s="2" t="n">
        <f aca="false">D18*20</f>
        <v>20</v>
      </c>
      <c r="Z18" s="2" t="n">
        <f aca="false">D18*2</f>
        <v>2</v>
      </c>
      <c r="AA18" s="4" t="n">
        <v>2.2</v>
      </c>
      <c r="AB18" s="4" t="n">
        <v>360</v>
      </c>
      <c r="AC18" s="4" t="n">
        <v>2</v>
      </c>
      <c r="AD18" s="2" t="n">
        <f aca="false">ROUND(W18*1.08^9,0)</f>
        <v>40</v>
      </c>
      <c r="AE18" s="2" t="n">
        <f aca="false">ROUND(X18*1.1^9,0)</f>
        <v>94</v>
      </c>
      <c r="AF18" s="2" t="s">
        <v>108</v>
      </c>
    </row>
    <row r="19" customFormat="false" ht="15" hidden="false" customHeight="false" outlineLevel="0" collapsed="false">
      <c r="A19" s="2" t="n">
        <v>18</v>
      </c>
      <c r="B19" s="2" t="s">
        <v>109</v>
      </c>
      <c r="C19" s="2" t="s">
        <v>67</v>
      </c>
      <c r="D19" s="4" t="n">
        <v>2</v>
      </c>
      <c r="E19" s="4" t="n">
        <v>2</v>
      </c>
      <c r="F19" s="2" t="s">
        <v>110</v>
      </c>
      <c r="G19" s="2" t="s">
        <v>104</v>
      </c>
      <c r="H19" s="2" t="s">
        <v>59</v>
      </c>
      <c r="I19" s="2" t="n">
        <v>1</v>
      </c>
      <c r="J19" s="2" t="s">
        <v>48</v>
      </c>
      <c r="K19" s="2"/>
      <c r="L19" s="4" t="n">
        <v>0</v>
      </c>
      <c r="M19" s="4" t="n">
        <v>10</v>
      </c>
      <c r="N19" s="4" t="n">
        <v>0.5</v>
      </c>
      <c r="O19" s="4" t="n">
        <v>0.4</v>
      </c>
      <c r="P19" s="4" t="n">
        <v>0.3</v>
      </c>
      <c r="Q19" s="4" t="n">
        <v>8</v>
      </c>
      <c r="R19" s="4" t="n">
        <v>8</v>
      </c>
      <c r="S19" s="4" t="n">
        <v>8</v>
      </c>
      <c r="T19" s="4" t="n">
        <v>0</v>
      </c>
      <c r="U19" s="2" t="s">
        <v>111</v>
      </c>
      <c r="V19" s="4" t="n">
        <v>2</v>
      </c>
      <c r="W19" s="4" t="n">
        <v>60</v>
      </c>
      <c r="X19" s="4" t="n">
        <v>80</v>
      </c>
      <c r="Y19" s="2" t="n">
        <f aca="false">D19*20</f>
        <v>40</v>
      </c>
      <c r="Z19" s="2" t="n">
        <f aca="false">D19*2</f>
        <v>4</v>
      </c>
      <c r="AA19" s="4" t="n">
        <v>2</v>
      </c>
      <c r="AB19" s="4" t="n">
        <v>300</v>
      </c>
      <c r="AC19" s="4" t="n">
        <v>4</v>
      </c>
      <c r="AD19" s="2" t="n">
        <f aca="false">ROUND(W19*1.08^9,0)</f>
        <v>120</v>
      </c>
      <c r="AE19" s="2" t="n">
        <f aca="false">ROUND(X19*1.1^9,0)</f>
        <v>189</v>
      </c>
      <c r="AF19" s="2" t="s">
        <v>112</v>
      </c>
    </row>
    <row r="20" customFormat="false" ht="15" hidden="false" customHeight="false" outlineLevel="0" collapsed="false">
      <c r="A20" s="2" t="n">
        <v>19</v>
      </c>
      <c r="B20" s="2" t="s">
        <v>113</v>
      </c>
      <c r="C20" s="2" t="s">
        <v>40</v>
      </c>
      <c r="D20" s="4" t="n">
        <v>2</v>
      </c>
      <c r="E20" s="4" t="n">
        <v>2</v>
      </c>
      <c r="F20" s="2" t="s">
        <v>99</v>
      </c>
      <c r="G20" s="2" t="s">
        <v>114</v>
      </c>
      <c r="H20" s="2" t="s">
        <v>59</v>
      </c>
      <c r="I20" s="2" t="n">
        <v>1</v>
      </c>
      <c r="J20" s="2" t="s">
        <v>60</v>
      </c>
      <c r="K20" s="2"/>
      <c r="L20" s="4" t="n">
        <v>0</v>
      </c>
      <c r="M20" s="4" t="n">
        <v>10</v>
      </c>
      <c r="N20" s="4" t="n">
        <v>0.3</v>
      </c>
      <c r="O20" s="4" t="n">
        <v>0.4</v>
      </c>
      <c r="P20" s="4" t="n">
        <v>0.3</v>
      </c>
      <c r="Q20" s="4" t="n">
        <v>10</v>
      </c>
      <c r="R20" s="4" t="n">
        <v>10</v>
      </c>
      <c r="S20" s="4" t="n">
        <v>10</v>
      </c>
      <c r="T20" s="4" t="n">
        <v>0</v>
      </c>
      <c r="U20" s="2" t="s">
        <v>115</v>
      </c>
      <c r="V20" s="4" t="n">
        <v>0</v>
      </c>
      <c r="W20" s="4" t="n">
        <v>60</v>
      </c>
      <c r="X20" s="4" t="n">
        <v>80</v>
      </c>
      <c r="Y20" s="2" t="n">
        <f aca="false">D20*20</f>
        <v>40</v>
      </c>
      <c r="Z20" s="2" t="n">
        <f aca="false">D20*2</f>
        <v>4</v>
      </c>
      <c r="AA20" s="4" t="n">
        <v>2</v>
      </c>
      <c r="AB20" s="4" t="n">
        <v>300</v>
      </c>
      <c r="AC20" s="4" t="n">
        <v>4</v>
      </c>
      <c r="AD20" s="2" t="n">
        <f aca="false">ROUND(W20*1.08^9,0)</f>
        <v>120</v>
      </c>
      <c r="AE20" s="2" t="n">
        <f aca="false">ROUND(X20*1.1^9,0)</f>
        <v>189</v>
      </c>
      <c r="AF20" s="2" t="s">
        <v>116</v>
      </c>
    </row>
    <row r="21" customFormat="false" ht="15" hidden="false" customHeight="false" outlineLevel="0" collapsed="false">
      <c r="A21" s="2" t="n">
        <v>20</v>
      </c>
      <c r="B21" s="2" t="s">
        <v>117</v>
      </c>
      <c r="C21" s="2" t="s">
        <v>40</v>
      </c>
      <c r="D21" s="4" t="n">
        <v>2</v>
      </c>
      <c r="E21" s="4" t="n">
        <v>2</v>
      </c>
      <c r="F21" s="2" t="s">
        <v>118</v>
      </c>
      <c r="G21" s="2" t="s">
        <v>114</v>
      </c>
      <c r="H21" s="2" t="s">
        <v>68</v>
      </c>
      <c r="I21" s="2" t="n">
        <v>3</v>
      </c>
      <c r="J21" s="2" t="s">
        <v>60</v>
      </c>
      <c r="K21" s="2"/>
      <c r="L21" s="4" t="n">
        <v>0</v>
      </c>
      <c r="M21" s="4" t="n">
        <v>10</v>
      </c>
      <c r="N21" s="4" t="n">
        <v>0.2</v>
      </c>
      <c r="O21" s="4" t="n">
        <v>0.7</v>
      </c>
      <c r="P21" s="4" t="n">
        <v>0.4</v>
      </c>
      <c r="Q21" s="4" t="n">
        <v>14</v>
      </c>
      <c r="R21" s="4" t="n">
        <v>8</v>
      </c>
      <c r="S21" s="4" t="n">
        <v>14</v>
      </c>
      <c r="T21" s="4" t="n">
        <v>0</v>
      </c>
      <c r="U21" s="2" t="s">
        <v>111</v>
      </c>
      <c r="V21" s="4" t="n">
        <v>0</v>
      </c>
      <c r="W21" s="4" t="n">
        <v>60</v>
      </c>
      <c r="X21" s="4" t="n">
        <v>80</v>
      </c>
      <c r="Y21" s="2" t="n">
        <f aca="false">D21*20</f>
        <v>40</v>
      </c>
      <c r="Z21" s="2" t="n">
        <f aca="false">D21*2</f>
        <v>4</v>
      </c>
      <c r="AA21" s="4" t="n">
        <v>2</v>
      </c>
      <c r="AB21" s="4" t="n">
        <v>300</v>
      </c>
      <c r="AC21" s="4" t="n">
        <v>3</v>
      </c>
      <c r="AD21" s="2" t="n">
        <f aca="false">ROUND(W21*1.08^9,0)</f>
        <v>120</v>
      </c>
      <c r="AE21" s="2" t="n">
        <f aca="false">ROUND(X21*1.1^9,0)</f>
        <v>189</v>
      </c>
      <c r="AF21" s="2" t="s">
        <v>119</v>
      </c>
    </row>
    <row r="22" customFormat="false" ht="15" hidden="false" customHeight="false" outlineLevel="0" collapsed="false">
      <c r="A22" s="2" t="n">
        <v>21</v>
      </c>
      <c r="B22" s="2" t="s">
        <v>120</v>
      </c>
      <c r="C22" s="2" t="s">
        <v>121</v>
      </c>
      <c r="D22" s="4" t="n">
        <v>2</v>
      </c>
      <c r="E22" s="4" t="n">
        <v>2</v>
      </c>
      <c r="F22" s="2"/>
      <c r="G22" s="2" t="s">
        <v>42</v>
      </c>
      <c r="H22" s="2" t="s">
        <v>43</v>
      </c>
      <c r="I22" s="2" t="n">
        <v>8</v>
      </c>
      <c r="J22" s="2" t="s">
        <v>48</v>
      </c>
      <c r="K22" s="2" t="s">
        <v>122</v>
      </c>
      <c r="L22" s="4" t="n">
        <v>0</v>
      </c>
      <c r="M22" s="4" t="n">
        <v>10</v>
      </c>
      <c r="N22" s="4" t="n">
        <v>0.2</v>
      </c>
      <c r="O22" s="4" t="n">
        <v>0.8</v>
      </c>
      <c r="P22" s="4" t="n">
        <v>0.7</v>
      </c>
      <c r="Q22" s="4" t="n">
        <v>14</v>
      </c>
      <c r="R22" s="4" t="n">
        <v>8</v>
      </c>
      <c r="S22" s="4" t="n">
        <v>10</v>
      </c>
      <c r="T22" s="4" t="n">
        <v>0</v>
      </c>
      <c r="U22" s="2" t="s">
        <v>123</v>
      </c>
      <c r="V22" s="4" t="n">
        <v>0</v>
      </c>
      <c r="W22" s="4" t="n">
        <v>60</v>
      </c>
      <c r="X22" s="4" t="n">
        <v>80</v>
      </c>
      <c r="Y22" s="2" t="n">
        <f aca="false">D22*20</f>
        <v>40</v>
      </c>
      <c r="Z22" s="2" t="n">
        <f aca="false">D22*2</f>
        <v>4</v>
      </c>
      <c r="AA22" s="4" t="n">
        <v>2</v>
      </c>
      <c r="AB22" s="4" t="n">
        <v>300</v>
      </c>
      <c r="AC22" s="4" t="n">
        <v>3</v>
      </c>
      <c r="AD22" s="2" t="n">
        <f aca="false">ROUND(W22*1.08^9,0)</f>
        <v>120</v>
      </c>
      <c r="AE22" s="2" t="n">
        <f aca="false">ROUND(X22*1.1^9,0)</f>
        <v>189</v>
      </c>
      <c r="AF22" s="2" t="s">
        <v>124</v>
      </c>
    </row>
    <row r="23" customFormat="false" ht="15" hidden="false" customHeight="false" outlineLevel="0" collapsed="false">
      <c r="A23" s="2" t="n">
        <v>22</v>
      </c>
      <c r="B23" s="2" t="s">
        <v>125</v>
      </c>
      <c r="C23" s="2" t="s">
        <v>121</v>
      </c>
      <c r="D23" s="4" t="n">
        <v>2</v>
      </c>
      <c r="E23" s="4" t="n">
        <v>2</v>
      </c>
      <c r="F23" s="2" t="s">
        <v>126</v>
      </c>
      <c r="G23" s="2" t="s">
        <v>104</v>
      </c>
      <c r="H23" s="2" t="s">
        <v>59</v>
      </c>
      <c r="I23" s="2" t="n">
        <v>1</v>
      </c>
      <c r="J23" s="2" t="s">
        <v>60</v>
      </c>
      <c r="K23" s="2"/>
      <c r="L23" s="4" t="n">
        <v>0</v>
      </c>
      <c r="M23" s="4" t="n">
        <v>10</v>
      </c>
      <c r="N23" s="4" t="n">
        <v>0.3</v>
      </c>
      <c r="O23" s="4" t="n">
        <v>0.6</v>
      </c>
      <c r="P23" s="4" t="n">
        <v>0.5</v>
      </c>
      <c r="Q23" s="4" t="n">
        <v>12</v>
      </c>
      <c r="R23" s="4" t="n">
        <v>8</v>
      </c>
      <c r="S23" s="4" t="n">
        <v>8</v>
      </c>
      <c r="T23" s="4" t="n">
        <v>0</v>
      </c>
      <c r="U23" s="2" t="s">
        <v>123</v>
      </c>
      <c r="V23" s="4" t="n">
        <v>0</v>
      </c>
      <c r="W23" s="4" t="n">
        <v>60</v>
      </c>
      <c r="X23" s="4" t="n">
        <v>80</v>
      </c>
      <c r="Y23" s="2" t="n">
        <f aca="false">D23*20</f>
        <v>40</v>
      </c>
      <c r="Z23" s="2" t="n">
        <f aca="false">D23*2</f>
        <v>4</v>
      </c>
      <c r="AA23" s="4" t="n">
        <v>2</v>
      </c>
      <c r="AB23" s="4" t="n">
        <v>300</v>
      </c>
      <c r="AC23" s="4" t="n">
        <v>4</v>
      </c>
      <c r="AD23" s="2" t="n">
        <f aca="false">ROUND(W23*1.08^9,0)</f>
        <v>120</v>
      </c>
      <c r="AE23" s="2" t="n">
        <f aca="false">ROUND(X23*1.1^9,0)</f>
        <v>189</v>
      </c>
      <c r="AF23" s="2" t="s">
        <v>127</v>
      </c>
    </row>
    <row r="24" customFormat="false" ht="15" hidden="false" customHeight="false" outlineLevel="0" collapsed="false">
      <c r="A24" s="2" t="n">
        <v>23</v>
      </c>
      <c r="B24" s="2" t="s">
        <v>128</v>
      </c>
      <c r="C24" s="2" t="s">
        <v>129</v>
      </c>
      <c r="D24" s="4" t="n">
        <v>2</v>
      </c>
      <c r="E24" s="4" t="n">
        <v>2</v>
      </c>
      <c r="F24" s="2" t="s">
        <v>130</v>
      </c>
      <c r="G24" s="2" t="s">
        <v>114</v>
      </c>
      <c r="H24" s="2" t="s">
        <v>59</v>
      </c>
      <c r="I24" s="2" t="n">
        <v>1</v>
      </c>
      <c r="J24" s="2" t="s">
        <v>60</v>
      </c>
      <c r="K24" s="2"/>
      <c r="L24" s="4" t="n">
        <v>0</v>
      </c>
      <c r="M24" s="4" t="n">
        <v>15</v>
      </c>
      <c r="N24" s="4" t="n">
        <v>0.5</v>
      </c>
      <c r="O24" s="4" t="n">
        <v>0.4</v>
      </c>
      <c r="P24" s="4" t="n">
        <v>0.5</v>
      </c>
      <c r="Q24" s="4" t="n">
        <v>10</v>
      </c>
      <c r="R24" s="4" t="n">
        <v>10</v>
      </c>
      <c r="S24" s="4" t="n">
        <v>8</v>
      </c>
      <c r="T24" s="4" t="n">
        <v>0</v>
      </c>
      <c r="U24" s="2" t="s">
        <v>131</v>
      </c>
      <c r="V24" s="4" t="n">
        <v>0</v>
      </c>
      <c r="W24" s="4" t="n">
        <v>60</v>
      </c>
      <c r="X24" s="4" t="n">
        <v>80</v>
      </c>
      <c r="Y24" s="2" t="n">
        <f aca="false">D24*20</f>
        <v>40</v>
      </c>
      <c r="Z24" s="2" t="n">
        <f aca="false">D24*2</f>
        <v>4</v>
      </c>
      <c r="AA24" s="4" t="n">
        <v>2</v>
      </c>
      <c r="AB24" s="4" t="n">
        <v>300</v>
      </c>
      <c r="AC24" s="4" t="n">
        <v>5</v>
      </c>
      <c r="AD24" s="2" t="n">
        <f aca="false">ROUND(W24*1.08^9,0)</f>
        <v>120</v>
      </c>
      <c r="AE24" s="2" t="n">
        <f aca="false">ROUND(X24*1.1^9,0)</f>
        <v>189</v>
      </c>
      <c r="AF24" s="2" t="s">
        <v>132</v>
      </c>
    </row>
    <row r="25" customFormat="false" ht="15" hidden="false" customHeight="false" outlineLevel="0" collapsed="false">
      <c r="A25" s="2" t="n">
        <v>24</v>
      </c>
      <c r="B25" s="2" t="s">
        <v>133</v>
      </c>
      <c r="C25" s="2" t="s">
        <v>40</v>
      </c>
      <c r="D25" s="4" t="n">
        <v>2</v>
      </c>
      <c r="E25" s="4" t="n">
        <v>2</v>
      </c>
      <c r="F25" s="2" t="s">
        <v>134</v>
      </c>
      <c r="G25" s="2" t="s">
        <v>104</v>
      </c>
      <c r="H25" s="2" t="s">
        <v>59</v>
      </c>
      <c r="I25" s="2" t="n">
        <v>1</v>
      </c>
      <c r="J25" s="2" t="s">
        <v>64</v>
      </c>
      <c r="K25" s="2"/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4</v>
      </c>
      <c r="R25" s="4" t="n">
        <v>4</v>
      </c>
      <c r="S25" s="4" t="n">
        <v>4</v>
      </c>
      <c r="T25" s="4" t="n">
        <v>0</v>
      </c>
      <c r="U25" s="2" t="s">
        <v>115</v>
      </c>
      <c r="V25" s="4" t="n">
        <v>3</v>
      </c>
      <c r="W25" s="4" t="n">
        <v>60</v>
      </c>
      <c r="X25" s="4" t="n">
        <v>80</v>
      </c>
      <c r="Y25" s="2" t="n">
        <f aca="false">D25*20</f>
        <v>40</v>
      </c>
      <c r="Z25" s="2" t="n">
        <f aca="false">D25*2</f>
        <v>4</v>
      </c>
      <c r="AA25" s="4" t="n">
        <v>2</v>
      </c>
      <c r="AB25" s="4" t="n">
        <v>300</v>
      </c>
      <c r="AC25" s="4" t="n">
        <v>5</v>
      </c>
      <c r="AD25" s="2" t="n">
        <f aca="false">ROUND(W25*1.08^9,0)</f>
        <v>120</v>
      </c>
      <c r="AE25" s="2" t="n">
        <f aca="false">ROUND(X25*1.1^9,0)</f>
        <v>189</v>
      </c>
      <c r="AF25" s="2" t="s">
        <v>135</v>
      </c>
    </row>
    <row r="26" customFormat="false" ht="15" hidden="false" customHeight="false" outlineLevel="0" collapsed="false">
      <c r="A26" s="2" t="n">
        <v>25</v>
      </c>
      <c r="B26" s="2" t="s">
        <v>136</v>
      </c>
      <c r="C26" s="2" t="s">
        <v>137</v>
      </c>
      <c r="D26" s="4" t="n">
        <v>2</v>
      </c>
      <c r="E26" s="4" t="n">
        <v>1</v>
      </c>
      <c r="F26" s="2" t="s">
        <v>138</v>
      </c>
      <c r="G26" s="2" t="s">
        <v>91</v>
      </c>
      <c r="H26" s="2" t="s">
        <v>90</v>
      </c>
      <c r="I26" s="2" t="n">
        <v>40</v>
      </c>
      <c r="J26" s="2" t="s">
        <v>139</v>
      </c>
      <c r="K26" s="2" t="s">
        <v>140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2" t="s">
        <v>45</v>
      </c>
      <c r="V26" s="4" t="n">
        <v>0</v>
      </c>
      <c r="W26" s="4" t="n">
        <v>60</v>
      </c>
      <c r="X26" s="4" t="n">
        <v>80</v>
      </c>
      <c r="Y26" s="2" t="n">
        <f aca="false">D26*20</f>
        <v>40</v>
      </c>
      <c r="Z26" s="2" t="n">
        <f aca="false">D26*2</f>
        <v>4</v>
      </c>
      <c r="AA26" s="4" t="n">
        <v>2</v>
      </c>
      <c r="AB26" s="4" t="n">
        <v>300</v>
      </c>
      <c r="AC26" s="4" t="n">
        <v>0</v>
      </c>
      <c r="AD26" s="2" t="n">
        <f aca="false">ROUND(W26*1.08^9,0)</f>
        <v>120</v>
      </c>
      <c r="AE26" s="2" t="n">
        <f aca="false">ROUND(X26*1.1^9,0)</f>
        <v>189</v>
      </c>
      <c r="AF26" s="2" t="s">
        <v>141</v>
      </c>
    </row>
    <row r="27" customFormat="false" ht="15" hidden="false" customHeight="false" outlineLevel="0" collapsed="false">
      <c r="A27" s="2" t="n">
        <v>26</v>
      </c>
      <c r="B27" s="2" t="s">
        <v>142</v>
      </c>
      <c r="C27" s="2" t="s">
        <v>40</v>
      </c>
      <c r="D27" s="4" t="n">
        <v>1</v>
      </c>
      <c r="E27" s="4" t="n">
        <v>0</v>
      </c>
      <c r="F27" s="2" t="s">
        <v>143</v>
      </c>
      <c r="G27" s="2" t="s">
        <v>144</v>
      </c>
      <c r="H27" s="2" t="s">
        <v>59</v>
      </c>
      <c r="I27" s="2" t="n">
        <v>1</v>
      </c>
      <c r="J27" s="2" t="s">
        <v>48</v>
      </c>
      <c r="K27" s="2"/>
      <c r="L27" s="4" t="n">
        <v>0</v>
      </c>
      <c r="M27" s="4" t="n">
        <v>5</v>
      </c>
      <c r="N27" s="4" t="n">
        <v>0</v>
      </c>
      <c r="O27" s="4" t="n">
        <v>0.6</v>
      </c>
      <c r="P27" s="4" t="n">
        <v>0.8</v>
      </c>
      <c r="Q27" s="4" t="n">
        <v>10</v>
      </c>
      <c r="R27" s="4" t="n">
        <v>10</v>
      </c>
      <c r="S27" s="4" t="n">
        <v>8</v>
      </c>
      <c r="T27" s="4" t="n">
        <v>0</v>
      </c>
      <c r="U27" s="2" t="s">
        <v>45</v>
      </c>
      <c r="V27" s="4" t="n">
        <v>0</v>
      </c>
      <c r="W27" s="4" t="n">
        <v>20</v>
      </c>
      <c r="X27" s="4" t="n">
        <v>40</v>
      </c>
      <c r="Y27" s="2" t="n">
        <f aca="false">D27*20</f>
        <v>20</v>
      </c>
      <c r="Z27" s="2" t="n">
        <f aca="false">D27*2</f>
        <v>2</v>
      </c>
      <c r="AA27" s="4" t="n">
        <v>2.2</v>
      </c>
      <c r="AB27" s="4" t="n">
        <v>360</v>
      </c>
      <c r="AC27" s="4" t="n">
        <v>1</v>
      </c>
      <c r="AD27" s="2" t="n">
        <f aca="false">ROUND(W27*1.08^9,0)</f>
        <v>40</v>
      </c>
      <c r="AE27" s="2" t="n">
        <f aca="false">ROUND(X27*1.1^9,0)</f>
        <v>94</v>
      </c>
      <c r="AF27" s="2" t="s">
        <v>145</v>
      </c>
    </row>
    <row r="28" customFormat="false" ht="15" hidden="false" customHeight="false" outlineLevel="0" collapsed="false">
      <c r="A28" s="2" t="n">
        <v>27</v>
      </c>
      <c r="B28" s="2" t="s">
        <v>146</v>
      </c>
      <c r="C28" s="2" t="s">
        <v>40</v>
      </c>
      <c r="D28" s="4" t="n">
        <v>2</v>
      </c>
      <c r="E28" s="4" t="n">
        <v>0</v>
      </c>
      <c r="F28" s="2" t="s">
        <v>143</v>
      </c>
      <c r="G28" s="2" t="s">
        <v>144</v>
      </c>
      <c r="H28" s="2" t="s">
        <v>59</v>
      </c>
      <c r="I28" s="2" t="n">
        <v>1</v>
      </c>
      <c r="J28" s="2" t="s">
        <v>92</v>
      </c>
      <c r="K28" s="2"/>
      <c r="L28" s="4" t="n">
        <v>0</v>
      </c>
      <c r="M28" s="4" t="n">
        <v>10</v>
      </c>
      <c r="N28" s="4" t="n">
        <v>0.4</v>
      </c>
      <c r="O28" s="4" t="n">
        <v>0.4</v>
      </c>
      <c r="P28" s="4" t="n">
        <v>0.6</v>
      </c>
      <c r="Q28" s="4" t="n">
        <v>10</v>
      </c>
      <c r="R28" s="4" t="n">
        <v>15</v>
      </c>
      <c r="S28" s="4" t="n">
        <v>8</v>
      </c>
      <c r="T28" s="4" t="n">
        <v>0</v>
      </c>
      <c r="U28" s="2" t="s">
        <v>45</v>
      </c>
      <c r="V28" s="4" t="n">
        <v>0</v>
      </c>
      <c r="W28" s="4" t="n">
        <v>60</v>
      </c>
      <c r="X28" s="4" t="n">
        <v>80</v>
      </c>
      <c r="Y28" s="2" t="n">
        <f aca="false">D28*20</f>
        <v>40</v>
      </c>
      <c r="Z28" s="2" t="n">
        <f aca="false">D28*2</f>
        <v>4</v>
      </c>
      <c r="AA28" s="4" t="n">
        <v>2</v>
      </c>
      <c r="AB28" s="4" t="n">
        <v>300</v>
      </c>
      <c r="AC28" s="4" t="n">
        <v>2</v>
      </c>
      <c r="AD28" s="2" t="n">
        <f aca="false">ROUND(W28*1.08^9,0)</f>
        <v>120</v>
      </c>
      <c r="AE28" s="2" t="n">
        <f aca="false">ROUND(X28*1.1^9,0)</f>
        <v>189</v>
      </c>
      <c r="AF28" s="2" t="s">
        <v>147</v>
      </c>
    </row>
    <row r="29" customFormat="false" ht="15" hidden="false" customHeight="false" outlineLevel="0" collapsed="false">
      <c r="A29" s="2" t="n">
        <v>28</v>
      </c>
      <c r="B29" s="2" t="s">
        <v>148</v>
      </c>
      <c r="C29" s="2" t="s">
        <v>40</v>
      </c>
      <c r="D29" s="4" t="n">
        <v>3</v>
      </c>
      <c r="E29" s="4" t="n">
        <v>3</v>
      </c>
      <c r="F29" s="2" t="s">
        <v>52</v>
      </c>
      <c r="G29" s="2" t="s">
        <v>104</v>
      </c>
      <c r="H29" s="2" t="s">
        <v>59</v>
      </c>
      <c r="I29" s="2" t="n">
        <v>1</v>
      </c>
      <c r="J29" s="2" t="s">
        <v>60</v>
      </c>
      <c r="K29" s="2" t="s">
        <v>107</v>
      </c>
      <c r="L29" s="4" t="n">
        <v>3</v>
      </c>
      <c r="M29" s="4" t="n">
        <v>30</v>
      </c>
      <c r="N29" s="4" t="n">
        <v>0.7</v>
      </c>
      <c r="O29" s="4" t="n">
        <v>0.2</v>
      </c>
      <c r="P29" s="4" t="n">
        <v>0.2</v>
      </c>
      <c r="Q29" s="4" t="n">
        <v>8</v>
      </c>
      <c r="R29" s="4" t="n">
        <v>20</v>
      </c>
      <c r="S29" s="4" t="n">
        <v>10</v>
      </c>
      <c r="T29" s="4" t="n">
        <v>0</v>
      </c>
      <c r="U29" s="2" t="s">
        <v>96</v>
      </c>
      <c r="V29" s="4" t="n">
        <v>1</v>
      </c>
      <c r="W29" s="4" t="n">
        <v>250</v>
      </c>
      <c r="X29" s="4" t="n">
        <v>180</v>
      </c>
      <c r="Y29" s="2" t="n">
        <f aca="false">D29*20</f>
        <v>60</v>
      </c>
      <c r="Z29" s="2" t="n">
        <f aca="false">D29*2</f>
        <v>6</v>
      </c>
      <c r="AA29" s="4" t="n">
        <v>1.8</v>
      </c>
      <c r="AB29" s="4" t="n">
        <v>180</v>
      </c>
      <c r="AC29" s="4" t="n">
        <v>6</v>
      </c>
      <c r="AD29" s="2" t="n">
        <f aca="false">ROUND(W29*1.08^9,0)</f>
        <v>500</v>
      </c>
      <c r="AE29" s="2" t="n">
        <f aca="false">ROUND(X29*1.1^9,0)</f>
        <v>424</v>
      </c>
      <c r="AF29" s="2" t="s">
        <v>149</v>
      </c>
    </row>
    <row r="30" customFormat="false" ht="15" hidden="false" customHeight="false" outlineLevel="0" collapsed="false">
      <c r="A30" s="2" t="n">
        <v>29</v>
      </c>
      <c r="B30" s="2" t="s">
        <v>150</v>
      </c>
      <c r="C30" s="2" t="s">
        <v>40</v>
      </c>
      <c r="D30" s="4" t="n">
        <v>3</v>
      </c>
      <c r="E30" s="4" t="n">
        <v>3</v>
      </c>
      <c r="F30" s="2"/>
      <c r="G30" s="2" t="s">
        <v>114</v>
      </c>
      <c r="H30" s="2" t="s">
        <v>59</v>
      </c>
      <c r="I30" s="2" t="n">
        <v>1</v>
      </c>
      <c r="J30" s="2" t="s">
        <v>44</v>
      </c>
      <c r="K30" s="2"/>
      <c r="L30" s="4" t="n">
        <v>0</v>
      </c>
      <c r="M30" s="4" t="n">
        <v>30</v>
      </c>
      <c r="N30" s="4" t="n">
        <v>0.6</v>
      </c>
      <c r="O30" s="4" t="n">
        <v>0.3</v>
      </c>
      <c r="P30" s="4" t="n">
        <v>0.7</v>
      </c>
      <c r="Q30" s="4" t="n">
        <v>25</v>
      </c>
      <c r="R30" s="4" t="n">
        <v>20</v>
      </c>
      <c r="S30" s="4" t="n">
        <v>20</v>
      </c>
      <c r="T30" s="4" t="n">
        <v>0</v>
      </c>
      <c r="U30" s="2" t="s">
        <v>96</v>
      </c>
      <c r="V30" s="4" t="n">
        <v>0</v>
      </c>
      <c r="W30" s="4" t="n">
        <v>250</v>
      </c>
      <c r="X30" s="4" t="n">
        <v>180</v>
      </c>
      <c r="Y30" s="2" t="n">
        <f aca="false">D30*20</f>
        <v>60</v>
      </c>
      <c r="Z30" s="2" t="n">
        <f aca="false">D30*2</f>
        <v>6</v>
      </c>
      <c r="AA30" s="4" t="n">
        <v>1.8</v>
      </c>
      <c r="AB30" s="4" t="n">
        <v>180</v>
      </c>
      <c r="AC30" s="4" t="n">
        <v>6</v>
      </c>
      <c r="AD30" s="2" t="n">
        <f aca="false">ROUND(W30*1.08^9,0)</f>
        <v>500</v>
      </c>
      <c r="AE30" s="2" t="n">
        <f aca="false">ROUND(X30*1.1^9,0)</f>
        <v>424</v>
      </c>
      <c r="AF30" s="2" t="s">
        <v>151</v>
      </c>
    </row>
    <row r="31" customFormat="false" ht="15" hidden="false" customHeight="false" outlineLevel="0" collapsed="false">
      <c r="A31" s="2" t="n">
        <v>30</v>
      </c>
      <c r="B31" s="2" t="s">
        <v>152</v>
      </c>
      <c r="C31" s="2" t="s">
        <v>40</v>
      </c>
      <c r="D31" s="4" t="n">
        <v>3</v>
      </c>
      <c r="E31" s="4" t="n">
        <v>3</v>
      </c>
      <c r="F31" s="2"/>
      <c r="G31" s="2" t="s">
        <v>104</v>
      </c>
      <c r="H31" s="2" t="s">
        <v>59</v>
      </c>
      <c r="I31" s="2" t="n">
        <v>1</v>
      </c>
      <c r="J31" s="2" t="s">
        <v>92</v>
      </c>
      <c r="K31" s="2"/>
      <c r="L31" s="4" t="n">
        <v>0</v>
      </c>
      <c r="M31" s="4" t="n">
        <v>30</v>
      </c>
      <c r="N31" s="4" t="n">
        <v>0.6</v>
      </c>
      <c r="O31" s="4" t="n">
        <v>0.3</v>
      </c>
      <c r="P31" s="4" t="n">
        <v>0.3</v>
      </c>
      <c r="Q31" s="4" t="n">
        <v>10</v>
      </c>
      <c r="R31" s="4" t="n">
        <v>25</v>
      </c>
      <c r="S31" s="4" t="n">
        <v>10</v>
      </c>
      <c r="T31" s="4" t="n">
        <v>0</v>
      </c>
      <c r="U31" s="2" t="s">
        <v>96</v>
      </c>
      <c r="V31" s="4" t="n">
        <v>1</v>
      </c>
      <c r="W31" s="4" t="n">
        <v>250</v>
      </c>
      <c r="X31" s="4" t="n">
        <v>180</v>
      </c>
      <c r="Y31" s="2" t="n">
        <f aca="false">D31*20</f>
        <v>60</v>
      </c>
      <c r="Z31" s="2" t="n">
        <f aca="false">D31*2</f>
        <v>6</v>
      </c>
      <c r="AA31" s="4" t="n">
        <v>1.8</v>
      </c>
      <c r="AB31" s="4" t="n">
        <v>180</v>
      </c>
      <c r="AC31" s="4" t="n">
        <v>6</v>
      </c>
      <c r="AD31" s="2" t="n">
        <f aca="false">ROUND(W31*1.08^9,0)</f>
        <v>500</v>
      </c>
      <c r="AE31" s="2" t="n">
        <f aca="false">ROUND(X31*1.1^9,0)</f>
        <v>424</v>
      </c>
      <c r="AF31" s="2" t="s">
        <v>153</v>
      </c>
    </row>
    <row r="32" customFormat="false" ht="15" hidden="false" customHeight="false" outlineLevel="0" collapsed="false">
      <c r="A32" s="2" t="n">
        <v>31</v>
      </c>
      <c r="B32" s="2" t="s">
        <v>154</v>
      </c>
      <c r="C32" s="2" t="s">
        <v>40</v>
      </c>
      <c r="D32" s="4" t="n">
        <v>3</v>
      </c>
      <c r="E32" s="4" t="n">
        <v>3</v>
      </c>
      <c r="F32" s="2" t="s">
        <v>155</v>
      </c>
      <c r="G32" s="2" t="s">
        <v>156</v>
      </c>
      <c r="H32" s="2" t="s">
        <v>155</v>
      </c>
      <c r="I32" s="2" t="n">
        <v>5</v>
      </c>
      <c r="J32" s="2" t="s">
        <v>48</v>
      </c>
      <c r="K32" s="2"/>
      <c r="L32" s="4" t="n">
        <v>0</v>
      </c>
      <c r="M32" s="4" t="n">
        <v>30</v>
      </c>
      <c r="N32" s="4" t="n">
        <v>0.7</v>
      </c>
      <c r="O32" s="4" t="n">
        <v>0.3</v>
      </c>
      <c r="P32" s="4" t="n">
        <v>0.5</v>
      </c>
      <c r="Q32" s="4" t="n">
        <v>25</v>
      </c>
      <c r="R32" s="4" t="n">
        <v>20</v>
      </c>
      <c r="S32" s="4" t="n">
        <v>20</v>
      </c>
      <c r="T32" s="4" t="n">
        <v>0</v>
      </c>
      <c r="U32" s="2" t="s">
        <v>96</v>
      </c>
      <c r="V32" s="4" t="n">
        <v>0</v>
      </c>
      <c r="W32" s="4" t="n">
        <v>250</v>
      </c>
      <c r="X32" s="4" t="n">
        <v>180</v>
      </c>
      <c r="Y32" s="2" t="n">
        <f aca="false">D32*20</f>
        <v>60</v>
      </c>
      <c r="Z32" s="2" t="n">
        <f aca="false">D32*2</f>
        <v>6</v>
      </c>
      <c r="AA32" s="4" t="n">
        <v>1.8</v>
      </c>
      <c r="AB32" s="4" t="n">
        <v>180</v>
      </c>
      <c r="AC32" s="4" t="n">
        <v>6</v>
      </c>
      <c r="AD32" s="2" t="n">
        <f aca="false">ROUND(W32*1.08^9,0)</f>
        <v>500</v>
      </c>
      <c r="AE32" s="2" t="n">
        <f aca="false">ROUND(X32*1.1^9,0)</f>
        <v>424</v>
      </c>
      <c r="AF32" s="2" t="s">
        <v>157</v>
      </c>
    </row>
    <row r="33" customFormat="false" ht="15" hidden="false" customHeight="false" outlineLevel="0" collapsed="false">
      <c r="A33" s="2" t="n">
        <v>32</v>
      </c>
      <c r="B33" s="2" t="s">
        <v>158</v>
      </c>
      <c r="C33" s="2" t="s">
        <v>121</v>
      </c>
      <c r="D33" s="4" t="n">
        <v>3</v>
      </c>
      <c r="E33" s="4" t="n">
        <v>3</v>
      </c>
      <c r="F33" s="2" t="s">
        <v>159</v>
      </c>
      <c r="G33" s="2" t="s">
        <v>104</v>
      </c>
      <c r="H33" s="2" t="s">
        <v>59</v>
      </c>
      <c r="I33" s="2" t="n">
        <v>1</v>
      </c>
      <c r="J33" s="2" t="s">
        <v>60</v>
      </c>
      <c r="K33" s="2" t="s">
        <v>69</v>
      </c>
      <c r="L33" s="4" t="n">
        <v>0</v>
      </c>
      <c r="M33" s="4" t="n">
        <v>30</v>
      </c>
      <c r="N33" s="4" t="n">
        <v>0.4</v>
      </c>
      <c r="O33" s="4" t="n">
        <v>0.6</v>
      </c>
      <c r="P33" s="4" t="n">
        <v>0.9</v>
      </c>
      <c r="Q33" s="4" t="n">
        <v>10</v>
      </c>
      <c r="R33" s="4" t="n">
        <v>15</v>
      </c>
      <c r="S33" s="4" t="n">
        <v>8</v>
      </c>
      <c r="T33" s="4" t="n">
        <v>0</v>
      </c>
      <c r="U33" s="2" t="s">
        <v>123</v>
      </c>
      <c r="V33" s="4" t="n">
        <v>0</v>
      </c>
      <c r="W33" s="4" t="n">
        <v>250</v>
      </c>
      <c r="X33" s="4" t="n">
        <v>180</v>
      </c>
      <c r="Y33" s="2" t="n">
        <f aca="false">D33*20</f>
        <v>60</v>
      </c>
      <c r="Z33" s="2" t="n">
        <f aca="false">D33*2</f>
        <v>6</v>
      </c>
      <c r="AA33" s="4" t="n">
        <v>1.8</v>
      </c>
      <c r="AB33" s="4" t="n">
        <v>180</v>
      </c>
      <c r="AC33" s="4" t="n">
        <v>8</v>
      </c>
      <c r="AD33" s="2" t="n">
        <f aca="false">ROUND(W33*1.08^9,0)</f>
        <v>500</v>
      </c>
      <c r="AE33" s="2" t="n">
        <f aca="false">ROUND(X33*1.1^9,0)</f>
        <v>424</v>
      </c>
      <c r="AF33" s="2" t="s">
        <v>160</v>
      </c>
    </row>
    <row r="34" customFormat="false" ht="15" hidden="false" customHeight="false" outlineLevel="0" collapsed="false">
      <c r="A34" s="2" t="n">
        <v>33</v>
      </c>
      <c r="B34" s="2" t="s">
        <v>161</v>
      </c>
      <c r="C34" s="2" t="s">
        <v>40</v>
      </c>
      <c r="D34" s="4" t="n">
        <v>3</v>
      </c>
      <c r="E34" s="4" t="n">
        <v>0</v>
      </c>
      <c r="F34" s="2" t="s">
        <v>162</v>
      </c>
      <c r="G34" s="2" t="s">
        <v>58</v>
      </c>
      <c r="H34" s="2" t="s">
        <v>59</v>
      </c>
      <c r="I34" s="2" t="n">
        <v>1</v>
      </c>
      <c r="J34" s="2" t="s">
        <v>48</v>
      </c>
      <c r="K34" s="2"/>
      <c r="L34" s="4" t="n">
        <v>0</v>
      </c>
      <c r="M34" s="4" t="n">
        <v>15</v>
      </c>
      <c r="N34" s="4" t="n">
        <v>0.2</v>
      </c>
      <c r="O34" s="4" t="n">
        <v>0.4</v>
      </c>
      <c r="P34" s="4" t="n">
        <v>0.4</v>
      </c>
      <c r="Q34" s="4" t="n">
        <v>12</v>
      </c>
      <c r="R34" s="4" t="n">
        <v>30</v>
      </c>
      <c r="S34" s="4" t="n">
        <v>10</v>
      </c>
      <c r="T34" s="4" t="n">
        <v>4</v>
      </c>
      <c r="U34" s="2" t="s">
        <v>96</v>
      </c>
      <c r="V34" s="4" t="n">
        <v>1</v>
      </c>
      <c r="W34" s="4" t="n">
        <v>250</v>
      </c>
      <c r="X34" s="4" t="n">
        <v>180</v>
      </c>
      <c r="Y34" s="2" t="n">
        <f aca="false">D34*20</f>
        <v>60</v>
      </c>
      <c r="Z34" s="2" t="n">
        <f aca="false">D34*2</f>
        <v>6</v>
      </c>
      <c r="AA34" s="4" t="n">
        <v>1.8</v>
      </c>
      <c r="AB34" s="4" t="n">
        <v>180</v>
      </c>
      <c r="AC34" s="4" t="n">
        <v>5</v>
      </c>
      <c r="AD34" s="2" t="n">
        <f aca="false">ROUND(W34*1.08^9,0)</f>
        <v>500</v>
      </c>
      <c r="AE34" s="2" t="n">
        <f aca="false">ROUND(X34*1.1^9,0)</f>
        <v>424</v>
      </c>
      <c r="AF34" s="2" t="s">
        <v>163</v>
      </c>
    </row>
    <row r="35" customFormat="false" ht="15" hidden="false" customHeight="false" outlineLevel="0" collapsed="false">
      <c r="A35" s="2" t="n">
        <v>34</v>
      </c>
      <c r="B35" s="2" t="s">
        <v>164</v>
      </c>
      <c r="C35" s="2" t="s">
        <v>129</v>
      </c>
      <c r="D35" s="4" t="n">
        <v>3</v>
      </c>
      <c r="E35" s="4" t="n">
        <v>2</v>
      </c>
      <c r="F35" s="2" t="s">
        <v>165</v>
      </c>
      <c r="G35" s="2" t="s">
        <v>58</v>
      </c>
      <c r="H35" s="2" t="s">
        <v>59</v>
      </c>
      <c r="I35" s="2" t="n">
        <v>1</v>
      </c>
      <c r="J35" s="2" t="s">
        <v>139</v>
      </c>
      <c r="K35" s="2" t="s">
        <v>69</v>
      </c>
      <c r="L35" s="4" t="n">
        <v>0</v>
      </c>
      <c r="M35" s="4" t="n">
        <v>0</v>
      </c>
      <c r="N35" s="4" t="n">
        <v>0.1</v>
      </c>
      <c r="O35" s="4" t="n">
        <v>0.5</v>
      </c>
      <c r="P35" s="4" t="n">
        <v>0.3</v>
      </c>
      <c r="Q35" s="4" t="n">
        <v>12</v>
      </c>
      <c r="R35" s="4" t="n">
        <v>10</v>
      </c>
      <c r="S35" s="4" t="n">
        <v>10</v>
      </c>
      <c r="T35" s="4" t="n">
        <v>0</v>
      </c>
      <c r="U35" s="2" t="s">
        <v>166</v>
      </c>
      <c r="V35" s="4" t="n">
        <v>3</v>
      </c>
      <c r="W35" s="4" t="n">
        <v>250</v>
      </c>
      <c r="X35" s="4" t="n">
        <v>180</v>
      </c>
      <c r="Y35" s="2" t="n">
        <f aca="false">D35*20</f>
        <v>60</v>
      </c>
      <c r="Z35" s="2" t="n">
        <f aca="false">D35*2</f>
        <v>6</v>
      </c>
      <c r="AA35" s="4" t="n">
        <v>1.8</v>
      </c>
      <c r="AB35" s="4" t="n">
        <v>180</v>
      </c>
      <c r="AC35" s="4" t="n">
        <v>5</v>
      </c>
      <c r="AD35" s="2" t="n">
        <f aca="false">ROUND(W35*1.08^9,0)</f>
        <v>500</v>
      </c>
      <c r="AE35" s="2" t="n">
        <f aca="false">ROUND(X35*1.1^9,0)</f>
        <v>424</v>
      </c>
      <c r="AF35" s="2" t="s">
        <v>167</v>
      </c>
    </row>
    <row r="36" customFormat="false" ht="15" hidden="false" customHeight="false" outlineLevel="0" collapsed="false">
      <c r="A36" s="2" t="n">
        <v>35</v>
      </c>
      <c r="B36" s="2" t="s">
        <v>168</v>
      </c>
      <c r="C36" s="2" t="s">
        <v>129</v>
      </c>
      <c r="D36" s="4" t="n">
        <v>4</v>
      </c>
      <c r="E36" s="4" t="n">
        <v>3</v>
      </c>
      <c r="F36" s="2" t="s">
        <v>165</v>
      </c>
      <c r="G36" s="2" t="s">
        <v>58</v>
      </c>
      <c r="H36" s="2" t="s">
        <v>59</v>
      </c>
      <c r="I36" s="2" t="n">
        <v>1</v>
      </c>
      <c r="J36" s="2" t="s">
        <v>48</v>
      </c>
      <c r="K36" s="2"/>
      <c r="L36" s="4" t="n">
        <v>0</v>
      </c>
      <c r="M36" s="4" t="n">
        <v>0</v>
      </c>
      <c r="N36" s="4" t="n">
        <v>0.2</v>
      </c>
      <c r="O36" s="4" t="n">
        <v>0.4</v>
      </c>
      <c r="P36" s="4" t="n">
        <v>0.3</v>
      </c>
      <c r="Q36" s="4" t="n">
        <v>12</v>
      </c>
      <c r="R36" s="4" t="n">
        <v>12</v>
      </c>
      <c r="S36" s="4" t="n">
        <v>10</v>
      </c>
      <c r="T36" s="4" t="n">
        <v>0</v>
      </c>
      <c r="U36" s="2" t="s">
        <v>166</v>
      </c>
      <c r="V36" s="4" t="n">
        <v>4</v>
      </c>
      <c r="W36" s="4" t="n">
        <v>900</v>
      </c>
      <c r="X36" s="4" t="n">
        <v>400</v>
      </c>
      <c r="Y36" s="2" t="n">
        <f aca="false">D36*20</f>
        <v>80</v>
      </c>
      <c r="Z36" s="2" t="n">
        <f aca="false">D36*2</f>
        <v>8</v>
      </c>
      <c r="AA36" s="4" t="n">
        <v>2.4</v>
      </c>
      <c r="AB36" s="4" t="n">
        <v>120</v>
      </c>
      <c r="AC36" s="4" t="n">
        <v>6</v>
      </c>
      <c r="AD36" s="2" t="n">
        <f aca="false">ROUND(W36*1.08^9,0)</f>
        <v>1799</v>
      </c>
      <c r="AE36" s="2" t="n">
        <f aca="false">ROUND(X36*1.1^9,0)</f>
        <v>943</v>
      </c>
      <c r="AF36" s="2" t="s">
        <v>169</v>
      </c>
    </row>
    <row r="37" customFormat="false" ht="15" hidden="false" customHeight="false" outlineLevel="0" collapsed="false">
      <c r="A37" s="2" t="n">
        <v>36</v>
      </c>
      <c r="B37" s="2" t="s">
        <v>170</v>
      </c>
      <c r="C37" s="2" t="s">
        <v>40</v>
      </c>
      <c r="D37" s="4" t="n">
        <v>4</v>
      </c>
      <c r="E37" s="4" t="n">
        <v>4</v>
      </c>
      <c r="F37" s="2"/>
      <c r="G37" s="2" t="s">
        <v>171</v>
      </c>
      <c r="H37" s="2" t="s">
        <v>59</v>
      </c>
      <c r="I37" s="2" t="n">
        <v>1</v>
      </c>
      <c r="J37" s="2" t="s">
        <v>48</v>
      </c>
      <c r="K37" s="2"/>
      <c r="L37" s="4" t="n">
        <v>0</v>
      </c>
      <c r="M37" s="4" t="n">
        <v>60</v>
      </c>
      <c r="N37" s="4" t="n">
        <v>0.6</v>
      </c>
      <c r="O37" s="4" t="n">
        <v>0.1</v>
      </c>
      <c r="P37" s="4" t="n">
        <v>0.5</v>
      </c>
      <c r="Q37" s="4" t="n">
        <v>20</v>
      </c>
      <c r="R37" s="4" t="n">
        <v>40</v>
      </c>
      <c r="S37" s="4" t="n">
        <v>20</v>
      </c>
      <c r="T37" s="4" t="n">
        <v>6</v>
      </c>
      <c r="U37" s="2" t="s">
        <v>96</v>
      </c>
      <c r="V37" s="4" t="n">
        <v>1</v>
      </c>
      <c r="W37" s="4" t="n">
        <v>900</v>
      </c>
      <c r="X37" s="4" t="n">
        <v>400</v>
      </c>
      <c r="Y37" s="2" t="n">
        <f aca="false">D37*20</f>
        <v>80</v>
      </c>
      <c r="Z37" s="2" t="n">
        <f aca="false">D37*2</f>
        <v>8</v>
      </c>
      <c r="AA37" s="4" t="n">
        <v>2.4</v>
      </c>
      <c r="AB37" s="4" t="n">
        <v>120</v>
      </c>
      <c r="AC37" s="4" t="n">
        <v>8</v>
      </c>
      <c r="AD37" s="2" t="n">
        <f aca="false">ROUND(W37*1.08^9,0)</f>
        <v>1799</v>
      </c>
      <c r="AE37" s="2" t="n">
        <f aca="false">ROUND(X37*1.1^9,0)</f>
        <v>943</v>
      </c>
      <c r="AF37" s="2" t="s">
        <v>172</v>
      </c>
    </row>
    <row r="38" customFormat="false" ht="15" hidden="false" customHeight="false" outlineLevel="0" collapsed="false">
      <c r="A38" s="2" t="n">
        <v>37</v>
      </c>
      <c r="B38" s="2" t="s">
        <v>173</v>
      </c>
      <c r="C38" s="2" t="s">
        <v>40</v>
      </c>
      <c r="D38" s="4" t="n">
        <v>4</v>
      </c>
      <c r="E38" s="4" t="n">
        <v>4</v>
      </c>
      <c r="F38" s="2"/>
      <c r="G38" s="2" t="s">
        <v>171</v>
      </c>
      <c r="H38" s="2" t="s">
        <v>59</v>
      </c>
      <c r="I38" s="2" t="n">
        <v>1</v>
      </c>
      <c r="J38" s="2" t="s">
        <v>139</v>
      </c>
      <c r="K38" s="2"/>
      <c r="L38" s="4" t="n">
        <v>0</v>
      </c>
      <c r="M38" s="4" t="n">
        <v>80</v>
      </c>
      <c r="N38" s="4" t="n">
        <v>0.9</v>
      </c>
      <c r="O38" s="4" t="n">
        <v>0.1</v>
      </c>
      <c r="P38" s="4" t="n">
        <v>0.6</v>
      </c>
      <c r="Q38" s="4" t="n">
        <v>20</v>
      </c>
      <c r="R38" s="4" t="n">
        <v>45</v>
      </c>
      <c r="S38" s="4" t="n">
        <v>25</v>
      </c>
      <c r="T38" s="4" t="n">
        <v>6</v>
      </c>
      <c r="U38" s="2" t="s">
        <v>96</v>
      </c>
      <c r="V38" s="4" t="n">
        <v>1</v>
      </c>
      <c r="W38" s="4" t="n">
        <v>900</v>
      </c>
      <c r="X38" s="4" t="n">
        <v>400</v>
      </c>
      <c r="Y38" s="2" t="n">
        <f aca="false">D38*20</f>
        <v>80</v>
      </c>
      <c r="Z38" s="2" t="n">
        <f aca="false">D38*2</f>
        <v>8</v>
      </c>
      <c r="AA38" s="4" t="n">
        <v>2.4</v>
      </c>
      <c r="AB38" s="4" t="n">
        <v>120</v>
      </c>
      <c r="AC38" s="4" t="n">
        <v>8</v>
      </c>
      <c r="AD38" s="2" t="n">
        <f aca="false">ROUND(W38*1.08^9,0)</f>
        <v>1799</v>
      </c>
      <c r="AE38" s="2" t="n">
        <f aca="false">ROUND(X38*1.1^9,0)</f>
        <v>943</v>
      </c>
      <c r="AF38" s="2" t="s">
        <v>174</v>
      </c>
    </row>
    <row r="39" customFormat="false" ht="15" hidden="false" customHeight="false" outlineLevel="0" collapsed="false">
      <c r="A39" s="2" t="n">
        <v>38</v>
      </c>
      <c r="B39" s="2" t="s">
        <v>175</v>
      </c>
      <c r="C39" s="2" t="s">
        <v>129</v>
      </c>
      <c r="D39" s="4" t="n">
        <v>5</v>
      </c>
      <c r="E39" s="4" t="n">
        <v>4</v>
      </c>
      <c r="F39" s="2" t="s">
        <v>176</v>
      </c>
      <c r="G39" s="2" t="s">
        <v>53</v>
      </c>
      <c r="H39" s="2" t="s">
        <v>59</v>
      </c>
      <c r="I39" s="2" t="n">
        <v>1</v>
      </c>
      <c r="J39" s="2" t="s">
        <v>44</v>
      </c>
      <c r="K39" s="2"/>
      <c r="L39" s="4" t="n">
        <v>8</v>
      </c>
      <c r="M39" s="4" t="n">
        <v>100</v>
      </c>
      <c r="N39" s="4" t="n">
        <v>0.8</v>
      </c>
      <c r="O39" s="4" t="n">
        <v>0.1</v>
      </c>
      <c r="P39" s="4" t="n">
        <v>0.3</v>
      </c>
      <c r="Q39" s="4" t="n">
        <v>15</v>
      </c>
      <c r="R39" s="4" t="n">
        <v>35</v>
      </c>
      <c r="S39" s="4" t="n">
        <v>20</v>
      </c>
      <c r="T39" s="4" t="n">
        <v>0</v>
      </c>
      <c r="U39" s="2" t="s">
        <v>177</v>
      </c>
      <c r="V39" s="4" t="n">
        <v>4</v>
      </c>
      <c r="W39" s="4" t="n">
        <v>3000</v>
      </c>
      <c r="X39" s="4" t="n">
        <v>900</v>
      </c>
      <c r="Y39" s="2" t="n">
        <f aca="false">D39*20</f>
        <v>100</v>
      </c>
      <c r="Z39" s="2" t="n">
        <f aca="false">D39*2</f>
        <v>10</v>
      </c>
      <c r="AA39" s="4" t="n">
        <v>2.6</v>
      </c>
      <c r="AB39" s="4" t="n">
        <v>70</v>
      </c>
      <c r="AC39" s="4" t="n">
        <v>10</v>
      </c>
      <c r="AD39" s="2" t="n">
        <f aca="false">ROUND(W39*1.08^9,0)</f>
        <v>5997</v>
      </c>
      <c r="AE39" s="2" t="n">
        <f aca="false">ROUND(X39*1.1^9,0)</f>
        <v>2122</v>
      </c>
      <c r="AF39" s="2" t="s">
        <v>178</v>
      </c>
    </row>
    <row r="40" customFormat="false" ht="15" hidden="false" customHeight="false" outlineLevel="0" collapsed="false">
      <c r="A40" s="2" t="n">
        <v>39</v>
      </c>
      <c r="B40" s="2" t="s">
        <v>179</v>
      </c>
      <c r="C40" s="2" t="s">
        <v>40</v>
      </c>
      <c r="D40" s="4" t="n">
        <v>5</v>
      </c>
      <c r="E40" s="4" t="n">
        <v>4</v>
      </c>
      <c r="F40" s="2"/>
      <c r="G40" s="2" t="s">
        <v>171</v>
      </c>
      <c r="H40" s="2" t="s">
        <v>59</v>
      </c>
      <c r="I40" s="2" t="n">
        <v>1</v>
      </c>
      <c r="J40" s="2" t="s">
        <v>180</v>
      </c>
      <c r="K40" s="2"/>
      <c r="L40" s="4" t="n">
        <v>0</v>
      </c>
      <c r="M40" s="4" t="n">
        <v>150</v>
      </c>
      <c r="N40" s="4" t="n">
        <v>0.9</v>
      </c>
      <c r="O40" s="4" t="n">
        <v>0</v>
      </c>
      <c r="P40" s="4" t="n">
        <v>0.7</v>
      </c>
      <c r="Q40" s="4" t="n">
        <v>30</v>
      </c>
      <c r="R40" s="4" t="n">
        <v>80</v>
      </c>
      <c r="S40" s="4" t="n">
        <v>30</v>
      </c>
      <c r="T40" s="4" t="n">
        <v>8</v>
      </c>
      <c r="U40" s="2" t="s">
        <v>96</v>
      </c>
      <c r="V40" s="4" t="n">
        <v>1</v>
      </c>
      <c r="W40" s="4" t="n">
        <v>3000</v>
      </c>
      <c r="X40" s="4" t="n">
        <v>900</v>
      </c>
      <c r="Y40" s="2" t="n">
        <f aca="false">D40*20</f>
        <v>100</v>
      </c>
      <c r="Z40" s="2" t="n">
        <f aca="false">D40*2</f>
        <v>10</v>
      </c>
      <c r="AA40" s="4" t="n">
        <v>2.6</v>
      </c>
      <c r="AB40" s="4" t="n">
        <v>70</v>
      </c>
      <c r="AC40" s="4" t="n">
        <v>10</v>
      </c>
      <c r="AD40" s="2" t="n">
        <f aca="false">ROUND(W40*1.08^9,0)</f>
        <v>5997</v>
      </c>
      <c r="AE40" s="2" t="n">
        <f aca="false">ROUND(X40*1.1^9,0)</f>
        <v>2122</v>
      </c>
      <c r="AF40" s="2" t="s">
        <v>181</v>
      </c>
    </row>
    <row r="41" customFormat="false" ht="15" hidden="false" customHeight="false" outlineLevel="0" collapsed="false">
      <c r="A41" s="2" t="n">
        <v>40</v>
      </c>
      <c r="B41" s="2" t="s">
        <v>182</v>
      </c>
      <c r="C41" s="2" t="s">
        <v>40</v>
      </c>
      <c r="D41" s="4" t="n">
        <v>6</v>
      </c>
      <c r="E41" s="4" t="n">
        <v>5</v>
      </c>
      <c r="F41" s="2" t="s">
        <v>183</v>
      </c>
      <c r="G41" s="2" t="s">
        <v>184</v>
      </c>
      <c r="H41" s="2" t="s">
        <v>59</v>
      </c>
      <c r="I41" s="2" t="n">
        <v>1</v>
      </c>
      <c r="J41" s="2" t="s">
        <v>92</v>
      </c>
      <c r="K41" s="2"/>
      <c r="L41" s="4" t="n">
        <v>12</v>
      </c>
      <c r="M41" s="4" t="n">
        <v>400</v>
      </c>
      <c r="N41" s="4" t="n">
        <v>1</v>
      </c>
      <c r="O41" s="4" t="n">
        <v>0</v>
      </c>
      <c r="P41" s="4" t="n">
        <v>0.2</v>
      </c>
      <c r="Q41" s="4" t="n">
        <v>20</v>
      </c>
      <c r="R41" s="4" t="n">
        <v>60</v>
      </c>
      <c r="S41" s="4" t="n">
        <v>20</v>
      </c>
      <c r="T41" s="4" t="n">
        <v>0</v>
      </c>
      <c r="U41" s="2" t="s">
        <v>185</v>
      </c>
      <c r="V41" s="4" t="n">
        <v>3</v>
      </c>
      <c r="W41" s="4" t="n">
        <v>15000</v>
      </c>
      <c r="X41" s="4" t="n">
        <v>1500</v>
      </c>
      <c r="Y41" s="2" t="n">
        <f aca="false">D41*20</f>
        <v>120</v>
      </c>
      <c r="Z41" s="2" t="n">
        <f aca="false">D41*2</f>
        <v>12</v>
      </c>
      <c r="AA41" s="4" t="n">
        <v>1.2</v>
      </c>
      <c r="AB41" s="4" t="n">
        <v>40</v>
      </c>
      <c r="AC41" s="4" t="n">
        <v>100</v>
      </c>
      <c r="AD41" s="2" t="n">
        <f aca="false">ROUND(W41*1.08^9,0)</f>
        <v>29985</v>
      </c>
      <c r="AE41" s="2" t="n">
        <f aca="false">ROUND(X41*1.1^9,0)</f>
        <v>3537</v>
      </c>
      <c r="AF41" s="2" t="s">
        <v>186</v>
      </c>
    </row>
    <row r="43" customFormat="false" ht="15" hidden="false" customHeight="false" outlineLevel="0" collapsed="false">
      <c r="A43" s="2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3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188</v>
      </c>
      <c r="B1" s="3" t="s">
        <v>189</v>
      </c>
      <c r="C1" s="3" t="s">
        <v>190</v>
      </c>
      <c r="D1" s="3" t="s">
        <v>191</v>
      </c>
      <c r="E1" s="3" t="s">
        <v>192</v>
      </c>
      <c r="F1" s="3" t="s">
        <v>193</v>
      </c>
      <c r="G1" s="3" t="s">
        <v>194</v>
      </c>
      <c r="H1" s="3" t="s">
        <v>195</v>
      </c>
    </row>
    <row r="2" customFormat="false" ht="15" hidden="false" customHeight="false" outlineLevel="0" collapsed="false">
      <c r="A2" s="2" t="s">
        <v>51</v>
      </c>
      <c r="B2" s="2" t="s">
        <v>196</v>
      </c>
      <c r="C2" s="4" t="n">
        <v>2</v>
      </c>
      <c r="D2" s="4" t="n">
        <v>0.3</v>
      </c>
      <c r="E2" s="4" t="n">
        <v>1</v>
      </c>
      <c r="F2" s="4" t="n">
        <v>1</v>
      </c>
      <c r="G2" s="2" t="s">
        <v>197</v>
      </c>
      <c r="H2" s="2"/>
    </row>
    <row r="3" customFormat="false" ht="15" hidden="false" customHeight="false" outlineLevel="0" collapsed="false">
      <c r="A3" s="2" t="s">
        <v>98</v>
      </c>
      <c r="B3" s="2" t="s">
        <v>198</v>
      </c>
      <c r="C3" s="4" t="n">
        <v>8</v>
      </c>
      <c r="D3" s="4" t="n">
        <v>0</v>
      </c>
      <c r="E3" s="4" t="n">
        <v>0</v>
      </c>
      <c r="F3" s="4" t="n">
        <v>0.5</v>
      </c>
      <c r="G3" s="2"/>
      <c r="H3" s="2" t="s">
        <v>199</v>
      </c>
    </row>
    <row r="4" customFormat="false" ht="15" hidden="false" customHeight="false" outlineLevel="0" collapsed="false">
      <c r="A4" s="2" t="s">
        <v>101</v>
      </c>
      <c r="B4" s="2" t="s">
        <v>200</v>
      </c>
      <c r="C4" s="4" t="n">
        <v>1</v>
      </c>
      <c r="D4" s="4" t="n">
        <v>0.2</v>
      </c>
      <c r="E4" s="4" t="n">
        <v>0.5</v>
      </c>
      <c r="F4" s="4" t="n">
        <v>1</v>
      </c>
      <c r="G4" s="2" t="s">
        <v>201</v>
      </c>
      <c r="H4" s="2"/>
    </row>
    <row r="5" customFormat="false" ht="15" hidden="false" customHeight="false" outlineLevel="0" collapsed="false">
      <c r="A5" s="2" t="s">
        <v>109</v>
      </c>
      <c r="B5" s="2" t="s">
        <v>202</v>
      </c>
      <c r="C5" s="4" t="n">
        <v>30</v>
      </c>
      <c r="D5" s="4" t="n">
        <v>0.4</v>
      </c>
      <c r="E5" s="4" t="n">
        <v>2</v>
      </c>
      <c r="F5" s="4" t="n">
        <v>1.5</v>
      </c>
      <c r="G5" s="2" t="s">
        <v>203</v>
      </c>
      <c r="H5" s="2" t="s">
        <v>204</v>
      </c>
    </row>
    <row r="6" customFormat="false" ht="15" hidden="false" customHeight="false" outlineLevel="0" collapsed="false">
      <c r="A6" s="2" t="s">
        <v>113</v>
      </c>
      <c r="B6" s="2" t="s">
        <v>205</v>
      </c>
      <c r="C6" s="4" t="n">
        <v>20</v>
      </c>
      <c r="D6" s="4" t="n">
        <v>0</v>
      </c>
      <c r="E6" s="4" t="n">
        <v>0</v>
      </c>
      <c r="F6" s="4" t="n">
        <v>0.6</v>
      </c>
      <c r="G6" s="2"/>
      <c r="H6" s="2" t="s">
        <v>206</v>
      </c>
    </row>
    <row r="7" customFormat="false" ht="15" hidden="false" customHeight="false" outlineLevel="0" collapsed="false">
      <c r="A7" s="2" t="s">
        <v>125</v>
      </c>
      <c r="B7" s="2" t="s">
        <v>207</v>
      </c>
      <c r="C7" s="4" t="n">
        <v>0</v>
      </c>
      <c r="D7" s="4" t="n">
        <v>0.5</v>
      </c>
      <c r="E7" s="4" t="n">
        <v>6</v>
      </c>
      <c r="F7" s="4" t="n">
        <v>4</v>
      </c>
      <c r="G7" s="2" t="s">
        <v>208</v>
      </c>
      <c r="H7" s="2" t="s">
        <v>209</v>
      </c>
    </row>
    <row r="8" customFormat="false" ht="15" hidden="false" customHeight="false" outlineLevel="0" collapsed="false">
      <c r="A8" s="2" t="s">
        <v>128</v>
      </c>
      <c r="B8" s="2" t="s">
        <v>200</v>
      </c>
      <c r="C8" s="4" t="n">
        <v>10</v>
      </c>
      <c r="D8" s="4" t="n">
        <v>0.5</v>
      </c>
      <c r="E8" s="4" t="n">
        <v>2</v>
      </c>
      <c r="F8" s="4" t="n">
        <v>1</v>
      </c>
      <c r="G8" s="2" t="s">
        <v>210</v>
      </c>
      <c r="H8" s="2" t="s">
        <v>211</v>
      </c>
    </row>
    <row r="9" customFormat="false" ht="15" hidden="false" customHeight="false" outlineLevel="0" collapsed="false">
      <c r="A9" s="2" t="s">
        <v>133</v>
      </c>
      <c r="B9" s="2" t="s">
        <v>205</v>
      </c>
      <c r="C9" s="4" t="n">
        <v>40</v>
      </c>
      <c r="D9" s="4" t="n">
        <v>0</v>
      </c>
      <c r="E9" s="4" t="n">
        <v>0</v>
      </c>
      <c r="F9" s="4" t="n">
        <v>0.6</v>
      </c>
      <c r="G9" s="2"/>
      <c r="H9" s="2" t="s">
        <v>212</v>
      </c>
    </row>
    <row r="10" customFormat="false" ht="15" hidden="false" customHeight="false" outlineLevel="0" collapsed="false">
      <c r="A10" s="2" t="s">
        <v>136</v>
      </c>
      <c r="B10" s="2" t="s">
        <v>213</v>
      </c>
      <c r="C10" s="4" t="n">
        <v>5</v>
      </c>
      <c r="D10" s="4" t="n">
        <v>0</v>
      </c>
      <c r="E10" s="4" t="n">
        <v>1</v>
      </c>
      <c r="F10" s="4" t="n">
        <v>1</v>
      </c>
      <c r="G10" s="2"/>
      <c r="H10" s="2" t="s">
        <v>214</v>
      </c>
    </row>
    <row r="11" customFormat="false" ht="15" hidden="false" customHeight="false" outlineLevel="0" collapsed="false">
      <c r="A11" s="2" t="s">
        <v>142</v>
      </c>
      <c r="B11" s="2" t="s">
        <v>215</v>
      </c>
      <c r="C11" s="4" t="n">
        <v>0</v>
      </c>
      <c r="D11" s="4" t="n">
        <v>0.3</v>
      </c>
      <c r="E11" s="4" t="n">
        <v>0</v>
      </c>
      <c r="F11" s="4" t="n">
        <v>0.5</v>
      </c>
      <c r="G11" s="2" t="s">
        <v>216</v>
      </c>
      <c r="H11" s="2" t="s">
        <v>217</v>
      </c>
    </row>
    <row r="12" customFormat="false" ht="15" hidden="false" customHeight="false" outlineLevel="0" collapsed="false">
      <c r="A12" s="2" t="s">
        <v>146</v>
      </c>
      <c r="B12" s="2" t="s">
        <v>218</v>
      </c>
      <c r="C12" s="4" t="n">
        <v>2</v>
      </c>
      <c r="D12" s="4" t="n">
        <v>0.5</v>
      </c>
      <c r="E12" s="4" t="n">
        <v>0</v>
      </c>
      <c r="F12" s="4" t="n">
        <v>0.5</v>
      </c>
      <c r="G12" s="2" t="s">
        <v>219</v>
      </c>
      <c r="H12" s="2" t="s">
        <v>220</v>
      </c>
    </row>
    <row r="13" customFormat="false" ht="15" hidden="false" customHeight="false" outlineLevel="0" collapsed="false">
      <c r="A13" s="2" t="s">
        <v>148</v>
      </c>
      <c r="B13" s="2" t="s">
        <v>221</v>
      </c>
      <c r="C13" s="4" t="n">
        <v>35</v>
      </c>
      <c r="D13" s="4" t="n">
        <v>0.4</v>
      </c>
      <c r="E13" s="4" t="n">
        <v>1.5</v>
      </c>
      <c r="F13" s="4" t="n">
        <v>2</v>
      </c>
      <c r="G13" s="2" t="s">
        <v>222</v>
      </c>
      <c r="H13" s="2" t="s">
        <v>223</v>
      </c>
    </row>
    <row r="14" customFormat="false" ht="15" hidden="false" customHeight="false" outlineLevel="0" collapsed="false">
      <c r="A14" s="2" t="s">
        <v>148</v>
      </c>
      <c r="B14" s="2" t="s">
        <v>224</v>
      </c>
      <c r="C14" s="4" t="n">
        <v>15</v>
      </c>
      <c r="D14" s="4" t="n">
        <v>0.6</v>
      </c>
      <c r="E14" s="4" t="n">
        <v>4</v>
      </c>
      <c r="F14" s="4" t="n">
        <v>1.5</v>
      </c>
      <c r="G14" s="2" t="s">
        <v>225</v>
      </c>
      <c r="H14" s="2" t="s">
        <v>226</v>
      </c>
    </row>
    <row r="15" customFormat="false" ht="15" hidden="false" customHeight="false" outlineLevel="0" collapsed="false">
      <c r="A15" s="2" t="s">
        <v>150</v>
      </c>
      <c r="B15" s="2" t="s">
        <v>227</v>
      </c>
      <c r="C15" s="4" t="n">
        <v>30</v>
      </c>
      <c r="D15" s="4" t="n">
        <v>0.3</v>
      </c>
      <c r="E15" s="4" t="n">
        <v>1.2</v>
      </c>
      <c r="F15" s="4" t="n">
        <v>2</v>
      </c>
      <c r="G15" s="2" t="s">
        <v>228</v>
      </c>
      <c r="H15" s="2" t="s">
        <v>223</v>
      </c>
    </row>
    <row r="16" customFormat="false" ht="15" hidden="false" customHeight="false" outlineLevel="0" collapsed="false">
      <c r="A16" s="2" t="s">
        <v>150</v>
      </c>
      <c r="B16" s="2" t="s">
        <v>229</v>
      </c>
      <c r="C16" s="4" t="n">
        <v>45</v>
      </c>
      <c r="D16" s="4" t="n">
        <v>0.5</v>
      </c>
      <c r="E16" s="4" t="n">
        <v>4</v>
      </c>
      <c r="F16" s="4" t="n">
        <v>10</v>
      </c>
      <c r="G16" s="2" t="s">
        <v>230</v>
      </c>
      <c r="H16" s="2" t="s">
        <v>231</v>
      </c>
    </row>
    <row r="17" customFormat="false" ht="15" hidden="false" customHeight="false" outlineLevel="0" collapsed="false">
      <c r="A17" s="2" t="s">
        <v>152</v>
      </c>
      <c r="B17" s="2" t="s">
        <v>232</v>
      </c>
      <c r="C17" s="4" t="n">
        <v>40</v>
      </c>
      <c r="D17" s="4" t="n">
        <v>0.6</v>
      </c>
      <c r="E17" s="4" t="n">
        <v>2.5</v>
      </c>
      <c r="F17" s="4" t="n">
        <v>2</v>
      </c>
      <c r="G17" s="2" t="s">
        <v>233</v>
      </c>
      <c r="H17" s="2" t="s">
        <v>234</v>
      </c>
    </row>
    <row r="18" customFormat="false" ht="15" hidden="false" customHeight="false" outlineLevel="0" collapsed="false">
      <c r="A18" s="2" t="s">
        <v>154</v>
      </c>
      <c r="B18" s="2" t="s">
        <v>235</v>
      </c>
      <c r="C18" s="4" t="n">
        <v>25</v>
      </c>
      <c r="D18" s="4" t="n">
        <v>0.4</v>
      </c>
      <c r="E18" s="4" t="n">
        <v>1.5</v>
      </c>
      <c r="F18" s="4" t="n">
        <v>3</v>
      </c>
      <c r="G18" s="2" t="s">
        <v>236</v>
      </c>
      <c r="H18" s="2" t="s">
        <v>237</v>
      </c>
    </row>
    <row r="19" customFormat="false" ht="15" hidden="false" customHeight="false" outlineLevel="0" collapsed="false">
      <c r="A19" s="2" t="s">
        <v>158</v>
      </c>
      <c r="B19" s="2" t="s">
        <v>238</v>
      </c>
      <c r="C19" s="4" t="n">
        <v>20</v>
      </c>
      <c r="D19" s="4" t="n">
        <v>0.5</v>
      </c>
      <c r="E19" s="4" t="n">
        <v>3</v>
      </c>
      <c r="F19" s="4" t="n">
        <v>2.5</v>
      </c>
      <c r="G19" s="2" t="s">
        <v>239</v>
      </c>
      <c r="H19" s="2" t="s">
        <v>240</v>
      </c>
    </row>
    <row r="20" customFormat="false" ht="15" hidden="false" customHeight="false" outlineLevel="0" collapsed="false">
      <c r="A20" s="2" t="s">
        <v>161</v>
      </c>
      <c r="B20" s="2" t="s">
        <v>200</v>
      </c>
      <c r="C20" s="4" t="n">
        <v>30</v>
      </c>
      <c r="D20" s="4" t="n">
        <v>0.6</v>
      </c>
      <c r="E20" s="4" t="n">
        <v>3</v>
      </c>
      <c r="F20" s="4" t="n">
        <v>1.5</v>
      </c>
      <c r="G20" s="2" t="s">
        <v>241</v>
      </c>
      <c r="H20" s="2"/>
    </row>
    <row r="21" customFormat="false" ht="15" hidden="false" customHeight="false" outlineLevel="0" collapsed="false">
      <c r="A21" s="2" t="s">
        <v>164</v>
      </c>
      <c r="B21" s="2" t="s">
        <v>200</v>
      </c>
      <c r="C21" s="4" t="n">
        <v>25</v>
      </c>
      <c r="D21" s="4" t="n">
        <v>0.6</v>
      </c>
      <c r="E21" s="4" t="n">
        <v>3</v>
      </c>
      <c r="F21" s="4" t="n">
        <v>1</v>
      </c>
      <c r="G21" s="2" t="s">
        <v>241</v>
      </c>
      <c r="H21" s="2"/>
    </row>
    <row r="22" customFormat="false" ht="15" hidden="false" customHeight="false" outlineLevel="0" collapsed="false">
      <c r="A22" s="2" t="s">
        <v>168</v>
      </c>
      <c r="B22" s="2" t="s">
        <v>242</v>
      </c>
      <c r="C22" s="4" t="n">
        <v>60</v>
      </c>
      <c r="D22" s="4" t="n">
        <v>0.8</v>
      </c>
      <c r="E22" s="4" t="n">
        <v>4</v>
      </c>
      <c r="F22" s="4" t="n">
        <v>1.2</v>
      </c>
      <c r="G22" s="2" t="s">
        <v>243</v>
      </c>
      <c r="H22" s="2" t="s">
        <v>244</v>
      </c>
    </row>
    <row r="23" customFormat="false" ht="15" hidden="false" customHeight="false" outlineLevel="0" collapsed="false">
      <c r="A23" s="2" t="s">
        <v>170</v>
      </c>
      <c r="B23" s="2" t="s">
        <v>200</v>
      </c>
      <c r="C23" s="4" t="n">
        <v>70</v>
      </c>
      <c r="D23" s="4" t="n">
        <v>0.5</v>
      </c>
      <c r="E23" s="4" t="n">
        <v>2</v>
      </c>
      <c r="F23" s="4" t="n">
        <v>2</v>
      </c>
      <c r="G23" s="2" t="s">
        <v>245</v>
      </c>
      <c r="H23" s="2" t="s">
        <v>246</v>
      </c>
    </row>
    <row r="24" customFormat="false" ht="15" hidden="false" customHeight="false" outlineLevel="0" collapsed="false">
      <c r="A24" s="2" t="s">
        <v>170</v>
      </c>
      <c r="B24" s="2" t="s">
        <v>247</v>
      </c>
      <c r="C24" s="4" t="n">
        <v>40</v>
      </c>
      <c r="D24" s="4" t="n">
        <v>0.4</v>
      </c>
      <c r="E24" s="4" t="n">
        <v>3</v>
      </c>
      <c r="F24" s="4" t="n">
        <v>2.5</v>
      </c>
      <c r="G24" s="2" t="s">
        <v>248</v>
      </c>
      <c r="H24" s="2" t="s">
        <v>249</v>
      </c>
    </row>
    <row r="25" customFormat="false" ht="15" hidden="false" customHeight="false" outlineLevel="0" collapsed="false">
      <c r="A25" s="2" t="s">
        <v>173</v>
      </c>
      <c r="B25" s="2" t="s">
        <v>200</v>
      </c>
      <c r="C25" s="4" t="n">
        <v>80</v>
      </c>
      <c r="D25" s="4" t="n">
        <v>0.4</v>
      </c>
      <c r="E25" s="4" t="n">
        <v>1.8</v>
      </c>
      <c r="F25" s="4" t="n">
        <v>2</v>
      </c>
      <c r="G25" s="2" t="s">
        <v>250</v>
      </c>
      <c r="H25" s="2" t="s">
        <v>246</v>
      </c>
    </row>
    <row r="26" customFormat="false" ht="15" hidden="false" customHeight="false" outlineLevel="0" collapsed="false">
      <c r="A26" s="2" t="s">
        <v>173</v>
      </c>
      <c r="B26" s="2" t="s">
        <v>235</v>
      </c>
      <c r="C26" s="4" t="n">
        <v>50</v>
      </c>
      <c r="D26" s="4" t="n">
        <v>0.5</v>
      </c>
      <c r="E26" s="4" t="n">
        <v>3</v>
      </c>
      <c r="F26" s="4" t="n">
        <v>6</v>
      </c>
      <c r="G26" s="2" t="s">
        <v>251</v>
      </c>
      <c r="H26" s="2" t="s">
        <v>252</v>
      </c>
    </row>
    <row r="27" customFormat="false" ht="15" hidden="false" customHeight="false" outlineLevel="0" collapsed="false">
      <c r="A27" s="2" t="s">
        <v>173</v>
      </c>
      <c r="B27" s="2" t="s">
        <v>224</v>
      </c>
      <c r="C27" s="4" t="n">
        <v>30</v>
      </c>
      <c r="D27" s="4" t="n">
        <v>0.6</v>
      </c>
      <c r="E27" s="4" t="n">
        <v>5</v>
      </c>
      <c r="F27" s="4" t="n">
        <v>1.5</v>
      </c>
      <c r="G27" s="2" t="s">
        <v>253</v>
      </c>
      <c r="H27" s="2" t="s">
        <v>254</v>
      </c>
    </row>
    <row r="28" customFormat="false" ht="15" hidden="false" customHeight="false" outlineLevel="0" collapsed="false">
      <c r="A28" s="2" t="s">
        <v>175</v>
      </c>
      <c r="B28" s="2" t="s">
        <v>255</v>
      </c>
      <c r="C28" s="4" t="n">
        <v>120</v>
      </c>
      <c r="D28" s="4" t="n">
        <v>0.9</v>
      </c>
      <c r="E28" s="4" t="n">
        <v>6</v>
      </c>
      <c r="F28" s="4" t="n">
        <v>2.5</v>
      </c>
      <c r="G28" s="2" t="s">
        <v>256</v>
      </c>
      <c r="H28" s="2" t="s">
        <v>257</v>
      </c>
    </row>
    <row r="29" customFormat="false" ht="15" hidden="false" customHeight="false" outlineLevel="0" collapsed="false">
      <c r="A29" s="2" t="s">
        <v>175</v>
      </c>
      <c r="B29" s="2" t="s">
        <v>258</v>
      </c>
      <c r="C29" s="4" t="n">
        <v>60</v>
      </c>
      <c r="D29" s="4" t="n">
        <v>0.4</v>
      </c>
      <c r="E29" s="4" t="n">
        <v>2</v>
      </c>
      <c r="F29" s="4" t="n">
        <v>2</v>
      </c>
      <c r="G29" s="2" t="s">
        <v>259</v>
      </c>
      <c r="H29" s="2" t="s">
        <v>223</v>
      </c>
    </row>
    <row r="30" customFormat="false" ht="15" hidden="false" customHeight="false" outlineLevel="0" collapsed="false">
      <c r="A30" s="2" t="s">
        <v>175</v>
      </c>
      <c r="B30" s="2" t="s">
        <v>260</v>
      </c>
      <c r="C30" s="4" t="n">
        <v>45</v>
      </c>
      <c r="D30" s="4" t="n">
        <v>0.5</v>
      </c>
      <c r="E30" s="4" t="n">
        <v>3</v>
      </c>
      <c r="F30" s="4" t="n">
        <v>3</v>
      </c>
      <c r="G30" s="2" t="s">
        <v>261</v>
      </c>
      <c r="H30" s="2" t="s">
        <v>262</v>
      </c>
    </row>
    <row r="31" customFormat="false" ht="15" hidden="false" customHeight="false" outlineLevel="0" collapsed="false">
      <c r="A31" s="2" t="s">
        <v>179</v>
      </c>
      <c r="B31" s="2" t="s">
        <v>200</v>
      </c>
      <c r="C31" s="4" t="n">
        <v>110</v>
      </c>
      <c r="D31" s="4" t="n">
        <v>0.5</v>
      </c>
      <c r="E31" s="4" t="n">
        <v>2</v>
      </c>
      <c r="F31" s="4" t="n">
        <v>2.5</v>
      </c>
      <c r="G31" s="2" t="s">
        <v>263</v>
      </c>
      <c r="H31" s="2" t="s">
        <v>264</v>
      </c>
    </row>
    <row r="32" customFormat="false" ht="15" hidden="false" customHeight="false" outlineLevel="0" collapsed="false">
      <c r="A32" s="2" t="s">
        <v>179</v>
      </c>
      <c r="B32" s="2" t="s">
        <v>235</v>
      </c>
      <c r="C32" s="4" t="n">
        <v>70</v>
      </c>
      <c r="D32" s="4" t="n">
        <v>0.5</v>
      </c>
      <c r="E32" s="4" t="n">
        <v>4</v>
      </c>
      <c r="F32" s="4" t="n">
        <v>8</v>
      </c>
      <c r="G32" s="2" t="s">
        <v>265</v>
      </c>
      <c r="H32" s="2" t="s">
        <v>266</v>
      </c>
    </row>
    <row r="33" customFormat="false" ht="15" hidden="false" customHeight="false" outlineLevel="0" collapsed="false">
      <c r="A33" s="2" t="s">
        <v>179</v>
      </c>
      <c r="B33" s="2" t="s">
        <v>267</v>
      </c>
      <c r="C33" s="4" t="n">
        <v>50</v>
      </c>
      <c r="D33" s="4" t="n">
        <v>0.7</v>
      </c>
      <c r="E33" s="4" t="n">
        <v>8</v>
      </c>
      <c r="F33" s="4" t="n">
        <v>2</v>
      </c>
      <c r="G33" s="2" t="s">
        <v>268</v>
      </c>
      <c r="H33" s="2" t="s">
        <v>269</v>
      </c>
    </row>
    <row r="34" customFormat="false" ht="15" hidden="false" customHeight="false" outlineLevel="0" collapsed="false">
      <c r="A34" s="2" t="s">
        <v>182</v>
      </c>
      <c r="B34" s="2" t="s">
        <v>270</v>
      </c>
      <c r="C34" s="4" t="n">
        <v>0</v>
      </c>
      <c r="D34" s="4" t="n">
        <v>1.5</v>
      </c>
      <c r="E34" s="4" t="n">
        <v>12</v>
      </c>
      <c r="F34" s="4" t="n">
        <v>4</v>
      </c>
      <c r="G34" s="2" t="s">
        <v>271</v>
      </c>
      <c r="H34" s="2" t="s">
        <v>272</v>
      </c>
    </row>
    <row r="35" customFormat="false" ht="15" hidden="false" customHeight="false" outlineLevel="0" collapsed="false">
      <c r="A35" s="2" t="s">
        <v>182</v>
      </c>
      <c r="B35" s="2" t="s">
        <v>273</v>
      </c>
      <c r="C35" s="4" t="n">
        <v>90</v>
      </c>
      <c r="D35" s="4" t="n">
        <v>0.8</v>
      </c>
      <c r="E35" s="4" t="n">
        <v>5</v>
      </c>
      <c r="F35" s="4" t="n">
        <v>4</v>
      </c>
      <c r="G35" s="2" t="s">
        <v>274</v>
      </c>
      <c r="H35" s="2" t="s">
        <v>275</v>
      </c>
    </row>
    <row r="36" customFormat="false" ht="15" hidden="false" customHeight="false" outlineLevel="0" collapsed="false">
      <c r="A36" s="2" t="s">
        <v>182</v>
      </c>
      <c r="B36" s="2" t="s">
        <v>276</v>
      </c>
      <c r="C36" s="4" t="n">
        <v>25</v>
      </c>
      <c r="D36" s="4" t="n">
        <v>0.6</v>
      </c>
      <c r="E36" s="4" t="n">
        <v>3</v>
      </c>
      <c r="F36" s="4" t="n">
        <v>10</v>
      </c>
      <c r="G36" s="2" t="s">
        <v>277</v>
      </c>
      <c r="H36" s="2" t="s">
        <v>278</v>
      </c>
    </row>
    <row r="37" customFormat="false" ht="15" hidden="false" customHeight="false" outlineLevel="0" collapsed="false">
      <c r="A37" s="2" t="s">
        <v>182</v>
      </c>
      <c r="B37" s="2" t="s">
        <v>279</v>
      </c>
      <c r="C37" s="4" t="n">
        <v>140</v>
      </c>
      <c r="D37" s="4" t="n">
        <v>0.7</v>
      </c>
      <c r="E37" s="4" t="n">
        <v>4</v>
      </c>
      <c r="F37" s="4" t="n">
        <v>6</v>
      </c>
      <c r="G37" s="2" t="s">
        <v>280</v>
      </c>
      <c r="H37" s="2" t="s">
        <v>264</v>
      </c>
    </row>
    <row r="39" customFormat="false" ht="15" hidden="false" customHeight="false" outlineLevel="0" collapsed="false">
      <c r="A39" s="2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1" min="2" style="0" width="6"/>
  </cols>
  <sheetData>
    <row r="1" customFormat="false" ht="15" hidden="false" customHeight="false" outlineLevel="0" collapsed="false">
      <c r="A1" s="3" t="s">
        <v>282</v>
      </c>
      <c r="B1" s="3" t="s">
        <v>39</v>
      </c>
      <c r="C1" s="3" t="s">
        <v>47</v>
      </c>
      <c r="D1" s="3" t="s">
        <v>51</v>
      </c>
      <c r="E1" s="3" t="s">
        <v>57</v>
      </c>
      <c r="F1" s="3" t="s">
        <v>62</v>
      </c>
      <c r="G1" s="3" t="s">
        <v>66</v>
      </c>
      <c r="H1" s="3" t="s">
        <v>71</v>
      </c>
      <c r="I1" s="3" t="s">
        <v>74</v>
      </c>
      <c r="J1" s="3" t="s">
        <v>77</v>
      </c>
      <c r="K1" s="3" t="s">
        <v>81</v>
      </c>
      <c r="L1" s="3" t="s">
        <v>85</v>
      </c>
      <c r="M1" s="3" t="s">
        <v>89</v>
      </c>
      <c r="N1" s="3" t="s">
        <v>95</v>
      </c>
      <c r="O1" s="3" t="s">
        <v>98</v>
      </c>
      <c r="P1" s="3" t="s">
        <v>101</v>
      </c>
      <c r="Q1" s="3" t="s">
        <v>103</v>
      </c>
      <c r="R1" s="3" t="s">
        <v>106</v>
      </c>
      <c r="S1" s="3" t="s">
        <v>109</v>
      </c>
      <c r="T1" s="3" t="s">
        <v>113</v>
      </c>
      <c r="U1" s="3" t="s">
        <v>117</v>
      </c>
      <c r="V1" s="3" t="s">
        <v>120</v>
      </c>
      <c r="W1" s="3" t="s">
        <v>125</v>
      </c>
      <c r="X1" s="3" t="s">
        <v>128</v>
      </c>
      <c r="Y1" s="3" t="s">
        <v>133</v>
      </c>
      <c r="Z1" s="3" t="s">
        <v>136</v>
      </c>
      <c r="AA1" s="3" t="s">
        <v>142</v>
      </c>
      <c r="AB1" s="3" t="s">
        <v>146</v>
      </c>
      <c r="AC1" s="3" t="s">
        <v>148</v>
      </c>
      <c r="AD1" s="3" t="s">
        <v>150</v>
      </c>
      <c r="AE1" s="3" t="s">
        <v>152</v>
      </c>
      <c r="AF1" s="3" t="s">
        <v>154</v>
      </c>
      <c r="AG1" s="3" t="s">
        <v>158</v>
      </c>
      <c r="AH1" s="3" t="s">
        <v>161</v>
      </c>
      <c r="AI1" s="3" t="s">
        <v>164</v>
      </c>
      <c r="AJ1" s="3" t="s">
        <v>168</v>
      </c>
      <c r="AK1" s="3" t="s">
        <v>170</v>
      </c>
      <c r="AL1" s="3" t="s">
        <v>173</v>
      </c>
      <c r="AM1" s="3" t="s">
        <v>175</v>
      </c>
      <c r="AN1" s="3" t="s">
        <v>179</v>
      </c>
      <c r="AO1" s="3" t="s">
        <v>182</v>
      </c>
      <c r="AP1" s="3" t="s">
        <v>283</v>
      </c>
      <c r="AQ1" s="3" t="s">
        <v>284</v>
      </c>
      <c r="AR1" s="3" t="s">
        <v>285</v>
      </c>
      <c r="AS1" s="3" t="s">
        <v>55</v>
      </c>
      <c r="AT1" s="3" t="s">
        <v>83</v>
      </c>
      <c r="AU1" s="3" t="s">
        <v>79</v>
      </c>
      <c r="AV1" s="3" t="s">
        <v>69</v>
      </c>
      <c r="AW1" s="3" t="s">
        <v>93</v>
      </c>
      <c r="AX1" s="3" t="s">
        <v>286</v>
      </c>
      <c r="AY1" s="3" t="s">
        <v>287</v>
      </c>
    </row>
    <row r="2" customFormat="false" ht="15" hidden="false" customHeight="false" outlineLevel="0" collapsed="false">
      <c r="A2" s="1" t="s">
        <v>39</v>
      </c>
      <c r="M2" s="4" t="n">
        <v>0.6</v>
      </c>
      <c r="AP2" s="4" t="n">
        <v>0.4</v>
      </c>
      <c r="AY2" s="2" t="n">
        <f aca="false">SUM(B2:AX2)</f>
        <v>1</v>
      </c>
    </row>
    <row r="3" customFormat="false" ht="15" hidden="false" customHeight="false" outlineLevel="0" collapsed="false">
      <c r="A3" s="1" t="s">
        <v>47</v>
      </c>
      <c r="M3" s="4" t="n">
        <v>0.5</v>
      </c>
      <c r="AP3" s="4" t="n">
        <v>0.5</v>
      </c>
      <c r="AY3" s="2" t="n">
        <f aca="false">SUM(B3:AX3)</f>
        <v>1</v>
      </c>
    </row>
    <row r="4" customFormat="false" ht="15" hidden="false" customHeight="false" outlineLevel="0" collapsed="false">
      <c r="A4" s="1" t="s">
        <v>51</v>
      </c>
      <c r="Z4" s="4" t="n">
        <v>0.4</v>
      </c>
      <c r="AS4" s="4" t="n">
        <v>0.6</v>
      </c>
      <c r="AY4" s="2" t="n">
        <f aca="false">SUM(B4:AX4)</f>
        <v>1</v>
      </c>
    </row>
    <row r="5" customFormat="false" ht="15" hidden="false" customHeight="false" outlineLevel="0" collapsed="false">
      <c r="A5" s="1" t="s">
        <v>57</v>
      </c>
      <c r="AP5" s="4" t="n">
        <v>0.5</v>
      </c>
      <c r="AQ5" s="4" t="n">
        <v>0.5</v>
      </c>
      <c r="AY5" s="2" t="n">
        <f aca="false">SUM(B5:AX5)</f>
        <v>1</v>
      </c>
    </row>
    <row r="6" customFormat="false" ht="15" hidden="false" customHeight="false" outlineLevel="0" collapsed="false">
      <c r="A6" s="1" t="s">
        <v>62</v>
      </c>
      <c r="AR6" s="4" t="n">
        <v>1</v>
      </c>
      <c r="AY6" s="2" t="n">
        <f aca="false">SUM(B6:AX6)</f>
        <v>1</v>
      </c>
    </row>
    <row r="7" customFormat="false" ht="15" hidden="false" customHeight="false" outlineLevel="0" collapsed="false">
      <c r="A7" s="1" t="s">
        <v>66</v>
      </c>
      <c r="AR7" s="4" t="n">
        <v>1</v>
      </c>
      <c r="AY7" s="2" t="n">
        <f aca="false">SUM(B7:AX7)</f>
        <v>1</v>
      </c>
    </row>
    <row r="8" customFormat="false" ht="15" hidden="false" customHeight="false" outlineLevel="0" collapsed="false">
      <c r="A8" s="1" t="s">
        <v>71</v>
      </c>
      <c r="AQ8" s="4" t="n">
        <v>0.4</v>
      </c>
      <c r="AS8" s="4" t="n">
        <v>0.6</v>
      </c>
      <c r="AY8" s="2" t="n">
        <f aca="false">SUM(B8:AX8)</f>
        <v>1</v>
      </c>
    </row>
    <row r="9" customFormat="false" ht="15" hidden="false" customHeight="false" outlineLevel="0" collapsed="false">
      <c r="A9" s="1" t="s">
        <v>74</v>
      </c>
      <c r="AQ9" s="4" t="n">
        <v>1</v>
      </c>
      <c r="AY9" s="2" t="n">
        <f aca="false">SUM(B9:AX9)</f>
        <v>1</v>
      </c>
    </row>
    <row r="10" customFormat="false" ht="15" hidden="false" customHeight="false" outlineLevel="0" collapsed="false">
      <c r="A10" s="1" t="s">
        <v>77</v>
      </c>
      <c r="AU10" s="4" t="n">
        <v>1</v>
      </c>
      <c r="AY10" s="2" t="n">
        <f aca="false">SUM(B10:AX10)</f>
        <v>1</v>
      </c>
    </row>
    <row r="11" customFormat="false" ht="15" hidden="false" customHeight="false" outlineLevel="0" collapsed="false">
      <c r="A11" s="1" t="s">
        <v>81</v>
      </c>
      <c r="AT11" s="4" t="n">
        <v>1</v>
      </c>
      <c r="AY11" s="2" t="n">
        <f aca="false">SUM(B11:AX11)</f>
        <v>1</v>
      </c>
    </row>
    <row r="12" customFormat="false" ht="15" hidden="false" customHeight="false" outlineLevel="0" collapsed="false">
      <c r="A12" s="1" t="s">
        <v>85</v>
      </c>
      <c r="AP12" s="4" t="n">
        <v>1</v>
      </c>
      <c r="AY12" s="2" t="n">
        <f aca="false">SUM(B12:AX12)</f>
        <v>1</v>
      </c>
    </row>
    <row r="13" customFormat="false" ht="15" hidden="false" customHeight="false" outlineLevel="0" collapsed="false">
      <c r="A13" s="1" t="s">
        <v>89</v>
      </c>
      <c r="AP13" s="4" t="n">
        <v>0.3</v>
      </c>
      <c r="AW13" s="4" t="n">
        <v>0.7</v>
      </c>
      <c r="AY13" s="2" t="n">
        <f aca="false">SUM(B13:AX13)</f>
        <v>1</v>
      </c>
    </row>
    <row r="14" customFormat="false" ht="15" hidden="false" customHeight="false" outlineLevel="0" collapsed="false">
      <c r="A14" s="1" t="s">
        <v>95</v>
      </c>
      <c r="AS14" s="4" t="n">
        <v>1</v>
      </c>
      <c r="AY14" s="2" t="n">
        <f aca="false">SUM(B14:AX14)</f>
        <v>1</v>
      </c>
    </row>
    <row r="15" customFormat="false" ht="15" hidden="false" customHeight="false" outlineLevel="0" collapsed="false">
      <c r="A15" s="1" t="s">
        <v>98</v>
      </c>
      <c r="AS15" s="4" t="n">
        <v>0.4</v>
      </c>
      <c r="AT15" s="4" t="n">
        <v>0.6</v>
      </c>
      <c r="AY15" s="2" t="n">
        <f aca="false">SUM(B15:AX15)</f>
        <v>1</v>
      </c>
    </row>
    <row r="16" customFormat="false" ht="15" hidden="false" customHeight="false" outlineLevel="0" collapsed="false">
      <c r="A16" s="1" t="s">
        <v>101</v>
      </c>
      <c r="L16" s="4" t="n">
        <v>0.3</v>
      </c>
      <c r="AP16" s="4" t="n">
        <v>0.4</v>
      </c>
      <c r="AS16" s="4" t="n">
        <v>0.3</v>
      </c>
      <c r="AY16" s="2" t="n">
        <f aca="false">SUM(B16:AX16)</f>
        <v>1</v>
      </c>
    </row>
    <row r="17" customFormat="false" ht="15" hidden="false" customHeight="false" outlineLevel="0" collapsed="false">
      <c r="A17" s="1" t="s">
        <v>103</v>
      </c>
      <c r="E17" s="4" t="n">
        <v>0.5</v>
      </c>
      <c r="L17" s="4" t="n">
        <v>0.5</v>
      </c>
      <c r="AY17" s="2" t="n">
        <f aca="false">SUM(B17:AX17)</f>
        <v>1</v>
      </c>
    </row>
    <row r="18" customFormat="false" ht="15" hidden="false" customHeight="false" outlineLevel="0" collapsed="false">
      <c r="A18" s="1" t="s">
        <v>106</v>
      </c>
      <c r="L18" s="4" t="n">
        <v>1</v>
      </c>
      <c r="AY18" s="2" t="n">
        <f aca="false">SUM(B18:AX18)</f>
        <v>1</v>
      </c>
    </row>
    <row r="19" customFormat="false" ht="15" hidden="false" customHeight="false" outlineLevel="0" collapsed="false">
      <c r="A19" s="1" t="s">
        <v>109</v>
      </c>
      <c r="H19" s="4" t="n">
        <v>0.5</v>
      </c>
      <c r="I19" s="4" t="n">
        <v>0.2</v>
      </c>
      <c r="J19" s="4" t="n">
        <v>0.3</v>
      </c>
      <c r="AY19" s="2" t="n">
        <f aca="false">SUM(B19:AX19)</f>
        <v>1</v>
      </c>
    </row>
    <row r="20" customFormat="false" ht="15" hidden="false" customHeight="false" outlineLevel="0" collapsed="false">
      <c r="A20" s="1" t="s">
        <v>113</v>
      </c>
      <c r="B20" s="4" t="n">
        <v>0.6</v>
      </c>
      <c r="E20" s="4" t="n">
        <v>0.4</v>
      </c>
      <c r="AY20" s="2" t="n">
        <f aca="false">SUM(B20:AX20)</f>
        <v>1</v>
      </c>
    </row>
    <row r="21" customFormat="false" ht="15" hidden="false" customHeight="false" outlineLevel="0" collapsed="false">
      <c r="A21" s="1" t="s">
        <v>117</v>
      </c>
      <c r="H21" s="4" t="n">
        <v>0.5</v>
      </c>
      <c r="I21" s="4" t="n">
        <v>0.5</v>
      </c>
      <c r="AY21" s="2" t="n">
        <f aca="false">SUM(B21:AX21)</f>
        <v>1</v>
      </c>
    </row>
    <row r="22" customFormat="false" ht="15" hidden="false" customHeight="false" outlineLevel="0" collapsed="false">
      <c r="A22" s="1" t="s">
        <v>120</v>
      </c>
      <c r="B22" s="4" t="n">
        <v>0.5</v>
      </c>
      <c r="C22" s="4" t="n">
        <v>0.5</v>
      </c>
      <c r="AY22" s="2" t="n">
        <f aca="false">SUM(B22:AX22)</f>
        <v>1</v>
      </c>
    </row>
    <row r="23" customFormat="false" ht="15" hidden="false" customHeight="false" outlineLevel="0" collapsed="false">
      <c r="A23" s="1" t="s">
        <v>125</v>
      </c>
      <c r="G23" s="4" t="n">
        <v>0.2</v>
      </c>
      <c r="H23" s="4" t="n">
        <v>0.5</v>
      </c>
      <c r="R23" s="4" t="n">
        <v>0.3</v>
      </c>
      <c r="AY23" s="2" t="n">
        <f aca="false">SUM(B23:AX23)</f>
        <v>1</v>
      </c>
    </row>
    <row r="24" customFormat="false" ht="15" hidden="false" customHeight="false" outlineLevel="0" collapsed="false">
      <c r="A24" s="1" t="s">
        <v>128</v>
      </c>
      <c r="E24" s="4" t="n">
        <v>0.5</v>
      </c>
      <c r="Q24" s="4" t="n">
        <v>0.5</v>
      </c>
      <c r="AY24" s="2" t="n">
        <f aca="false">SUM(B24:AX24)</f>
        <v>1</v>
      </c>
    </row>
    <row r="25" customFormat="false" ht="15" hidden="false" customHeight="false" outlineLevel="0" collapsed="false">
      <c r="A25" s="1" t="s">
        <v>133</v>
      </c>
      <c r="B25" s="4" t="n">
        <v>1</v>
      </c>
      <c r="AY25" s="2" t="n">
        <f aca="false">SUM(B25:AX25)</f>
        <v>1</v>
      </c>
    </row>
    <row r="26" customFormat="false" ht="15" hidden="false" customHeight="false" outlineLevel="0" collapsed="false">
      <c r="A26" s="1" t="s">
        <v>136</v>
      </c>
      <c r="AP26" s="4" t="n">
        <v>1</v>
      </c>
      <c r="AY26" s="2" t="n">
        <f aca="false">SUM(B26:AX26)</f>
        <v>1</v>
      </c>
    </row>
    <row r="27" customFormat="false" ht="15" hidden="false" customHeight="false" outlineLevel="0" collapsed="false">
      <c r="A27" s="1" t="s">
        <v>142</v>
      </c>
      <c r="AQ27" s="4" t="n">
        <v>1</v>
      </c>
      <c r="AY27" s="2" t="n">
        <f aca="false">SUM(B27:AX27)</f>
        <v>1</v>
      </c>
    </row>
    <row r="28" customFormat="false" ht="15" hidden="false" customHeight="false" outlineLevel="0" collapsed="false">
      <c r="A28" s="1" t="s">
        <v>146</v>
      </c>
      <c r="AD28" s="4" t="n">
        <v>0.2</v>
      </c>
      <c r="AE28" s="4" t="n">
        <v>0.2</v>
      </c>
      <c r="AH28" s="4" t="n">
        <v>0.2</v>
      </c>
      <c r="AJ28" s="4" t="n">
        <v>0.2</v>
      </c>
      <c r="AL28" s="4" t="n">
        <v>0.2</v>
      </c>
      <c r="AY28" s="2" t="n">
        <f aca="false">SUM(B28:AX28)</f>
        <v>1</v>
      </c>
    </row>
    <row r="29" customFormat="false" ht="15" hidden="false" customHeight="false" outlineLevel="0" collapsed="false">
      <c r="A29" s="1" t="s">
        <v>148</v>
      </c>
      <c r="Q29" s="4" t="n">
        <v>0.3</v>
      </c>
      <c r="U29" s="4" t="n">
        <v>0.3</v>
      </c>
      <c r="AG29" s="4" t="n">
        <v>0.4</v>
      </c>
      <c r="AY29" s="2" t="n">
        <f aca="false">SUM(B29:AX29)</f>
        <v>1</v>
      </c>
    </row>
    <row r="30" customFormat="false" ht="15" hidden="false" customHeight="false" outlineLevel="0" collapsed="false">
      <c r="A30" s="1" t="s">
        <v>150</v>
      </c>
      <c r="B30" s="4" t="n">
        <v>0.3</v>
      </c>
      <c r="C30" s="4" t="n">
        <v>0.4</v>
      </c>
      <c r="V30" s="4" t="n">
        <v>0.3</v>
      </c>
      <c r="AY30" s="2" t="n">
        <f aca="false">SUM(B30:AX30)</f>
        <v>1</v>
      </c>
    </row>
    <row r="31" customFormat="false" ht="15" hidden="false" customHeight="false" outlineLevel="0" collapsed="false">
      <c r="A31" s="1" t="s">
        <v>152</v>
      </c>
      <c r="N31" s="4" t="n">
        <v>0.3</v>
      </c>
      <c r="T31" s="4" t="n">
        <v>0.2</v>
      </c>
      <c r="W31" s="4" t="n">
        <v>0.3</v>
      </c>
      <c r="AC31" s="4" t="n">
        <v>0.2</v>
      </c>
      <c r="AY31" s="2" t="n">
        <f aca="false">SUM(B31:AX31)</f>
        <v>1</v>
      </c>
    </row>
    <row r="32" customFormat="false" ht="15" hidden="false" customHeight="false" outlineLevel="0" collapsed="false">
      <c r="A32" s="1" t="s">
        <v>154</v>
      </c>
      <c r="C32" s="4" t="n">
        <v>0.4</v>
      </c>
      <c r="P32" s="4" t="n">
        <v>0.3</v>
      </c>
      <c r="V32" s="4" t="n">
        <v>0.3</v>
      </c>
      <c r="AY32" s="2" t="n">
        <f aca="false">SUM(B32:AX32)</f>
        <v>1</v>
      </c>
    </row>
    <row r="33" customFormat="false" ht="15" hidden="false" customHeight="false" outlineLevel="0" collapsed="false">
      <c r="A33" s="1" t="s">
        <v>158</v>
      </c>
      <c r="H33" s="4" t="n">
        <v>0.3</v>
      </c>
      <c r="I33" s="4" t="n">
        <v>0.2</v>
      </c>
      <c r="J33" s="4" t="n">
        <v>0.2</v>
      </c>
      <c r="S33" s="4" t="n">
        <v>0.3</v>
      </c>
      <c r="AY33" s="2" t="n">
        <f aca="false">SUM(B33:AX33)</f>
        <v>1</v>
      </c>
    </row>
    <row r="34" customFormat="false" ht="15" hidden="false" customHeight="false" outlineLevel="0" collapsed="false">
      <c r="A34" s="1" t="s">
        <v>161</v>
      </c>
      <c r="H34" s="4" t="n">
        <v>0.3</v>
      </c>
      <c r="AQ34" s="4" t="n">
        <v>0.7</v>
      </c>
      <c r="AY34" s="2" t="n">
        <f aca="false">SUM(B34:AX34)</f>
        <v>1</v>
      </c>
    </row>
    <row r="35" customFormat="false" ht="15" hidden="false" customHeight="false" outlineLevel="0" collapsed="false">
      <c r="A35" s="1" t="s">
        <v>164</v>
      </c>
      <c r="Z35" s="4" t="n">
        <v>0.4</v>
      </c>
      <c r="AV35" s="4" t="n">
        <v>0.6</v>
      </c>
      <c r="AY35" s="2" t="n">
        <f aca="false">SUM(B35:AX35)</f>
        <v>1</v>
      </c>
    </row>
    <row r="36" customFormat="false" ht="15" hidden="false" customHeight="false" outlineLevel="0" collapsed="false">
      <c r="A36" s="1" t="s">
        <v>168</v>
      </c>
      <c r="H36" s="4" t="n">
        <v>0.4</v>
      </c>
      <c r="J36" s="4" t="n">
        <v>0.3</v>
      </c>
      <c r="S36" s="4" t="n">
        <v>0.3</v>
      </c>
      <c r="AY36" s="2" t="n">
        <f aca="false">SUM(B36:AX36)</f>
        <v>1</v>
      </c>
    </row>
    <row r="37" customFormat="false" ht="15" hidden="false" customHeight="false" outlineLevel="0" collapsed="false">
      <c r="A37" s="1" t="s">
        <v>170</v>
      </c>
      <c r="AD37" s="4" t="n">
        <v>0.3</v>
      </c>
      <c r="AE37" s="4" t="n">
        <v>0.3</v>
      </c>
      <c r="AF37" s="4" t="n">
        <v>0.4</v>
      </c>
      <c r="AY37" s="2" t="n">
        <f aca="false">SUM(B37:AX37)</f>
        <v>1</v>
      </c>
    </row>
    <row r="38" customFormat="false" ht="15" hidden="false" customHeight="false" outlineLevel="0" collapsed="false">
      <c r="A38" s="1" t="s">
        <v>173</v>
      </c>
      <c r="AC38" s="4" t="n">
        <v>0.1</v>
      </c>
      <c r="AD38" s="4" t="n">
        <v>0.2</v>
      </c>
      <c r="AE38" s="4" t="n">
        <v>0.2</v>
      </c>
      <c r="AF38" s="4" t="n">
        <v>0.2</v>
      </c>
      <c r="AI38" s="4" t="n">
        <v>0.1</v>
      </c>
      <c r="AX38" s="4" t="n">
        <v>0.2</v>
      </c>
      <c r="AY38" s="2" t="n">
        <f aca="false">SUM(B38:AX38)</f>
        <v>1</v>
      </c>
    </row>
    <row r="39" customFormat="false" ht="15" hidden="false" customHeight="false" outlineLevel="0" collapsed="false">
      <c r="A39" s="1" t="s">
        <v>175</v>
      </c>
      <c r="AI39" s="4" t="n">
        <v>0.3</v>
      </c>
      <c r="AJ39" s="4" t="n">
        <v>0.2</v>
      </c>
      <c r="AL39" s="4" t="n">
        <v>0.2</v>
      </c>
      <c r="AX39" s="4" t="n">
        <v>0.3</v>
      </c>
      <c r="AY39" s="2" t="n">
        <f aca="false">SUM(B39:AX39)</f>
        <v>1</v>
      </c>
    </row>
    <row r="40" customFormat="false" ht="15" hidden="false" customHeight="false" outlineLevel="0" collapsed="false">
      <c r="A40" s="1" t="s">
        <v>179</v>
      </c>
      <c r="X40" s="4" t="n">
        <v>0.1</v>
      </c>
      <c r="AH40" s="4" t="n">
        <v>0.1</v>
      </c>
      <c r="AJ40" s="4" t="n">
        <v>0.15</v>
      </c>
      <c r="AK40" s="4" t="n">
        <v>0.15</v>
      </c>
      <c r="AL40" s="4" t="n">
        <v>0.15</v>
      </c>
      <c r="AQ40" s="4" t="n">
        <v>0.15</v>
      </c>
      <c r="AX40" s="4" t="n">
        <v>0.2</v>
      </c>
      <c r="AY40" s="2" t="n">
        <f aca="false">SUM(B40:AX40)</f>
        <v>1</v>
      </c>
    </row>
    <row r="41" customFormat="false" ht="15" hidden="false" customHeight="false" outlineLevel="0" collapsed="false">
      <c r="A41" s="1" t="s">
        <v>182</v>
      </c>
      <c r="AC41" s="4" t="n">
        <v>0.2</v>
      </c>
      <c r="AE41" s="4" t="n">
        <v>0.3</v>
      </c>
      <c r="AL41" s="4" t="n">
        <v>0.2</v>
      </c>
      <c r="AX41" s="4" t="n">
        <v>0.3</v>
      </c>
      <c r="AY41" s="2" t="n">
        <f aca="false">SUM(B41:AX41)</f>
        <v>1</v>
      </c>
    </row>
    <row r="43" customFormat="false" ht="15" hidden="false" customHeight="false" outlineLevel="0" collapsed="false">
      <c r="A43" s="2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3" t="s">
        <v>289</v>
      </c>
      <c r="B1" s="3" t="s">
        <v>290</v>
      </c>
      <c r="C1" s="3" t="s">
        <v>291</v>
      </c>
      <c r="D1" s="3" t="s">
        <v>195</v>
      </c>
      <c r="E1" s="3" t="s">
        <v>292</v>
      </c>
      <c r="F1" s="3" t="s">
        <v>293</v>
      </c>
      <c r="G1" s="3" t="s">
        <v>294</v>
      </c>
      <c r="H1" s="3" t="s">
        <v>295</v>
      </c>
    </row>
    <row r="2" customFormat="false" ht="15" hidden="false" customHeight="false" outlineLevel="0" collapsed="false">
      <c r="A2" s="2" t="s">
        <v>55</v>
      </c>
      <c r="B2" s="2" t="s">
        <v>296</v>
      </c>
      <c r="C2" s="2" t="s">
        <v>297</v>
      </c>
      <c r="D2" s="2" t="s">
        <v>298</v>
      </c>
      <c r="E2" s="4" t="n">
        <v>0</v>
      </c>
      <c r="F2" s="2" t="s">
        <v>299</v>
      </c>
      <c r="G2" s="4" t="n">
        <v>1</v>
      </c>
      <c r="H2" s="4" t="n">
        <v>60</v>
      </c>
    </row>
    <row r="3" customFormat="false" ht="15" hidden="false" customHeight="false" outlineLevel="0" collapsed="false">
      <c r="A3" s="2" t="s">
        <v>83</v>
      </c>
      <c r="B3" s="2" t="s">
        <v>296</v>
      </c>
      <c r="C3" s="2" t="s">
        <v>44</v>
      </c>
      <c r="D3" s="2" t="s">
        <v>300</v>
      </c>
      <c r="E3" s="4" t="n">
        <v>0</v>
      </c>
      <c r="F3" s="2" t="s">
        <v>301</v>
      </c>
      <c r="G3" s="4" t="n">
        <v>1</v>
      </c>
      <c r="H3" s="4" t="n">
        <v>90</v>
      </c>
    </row>
    <row r="4" customFormat="false" ht="15" hidden="false" customHeight="false" outlineLevel="0" collapsed="false">
      <c r="A4" s="2" t="s">
        <v>302</v>
      </c>
      <c r="B4" s="2" t="s">
        <v>303</v>
      </c>
      <c r="C4" s="2" t="s">
        <v>304</v>
      </c>
      <c r="D4" s="2" t="s">
        <v>305</v>
      </c>
      <c r="E4" s="4" t="n">
        <v>15</v>
      </c>
      <c r="F4" s="2"/>
      <c r="G4" s="4" t="n">
        <v>0</v>
      </c>
      <c r="H4" s="4" t="n">
        <v>0</v>
      </c>
    </row>
    <row r="5" customFormat="false" ht="15" hidden="false" customHeight="false" outlineLevel="0" collapsed="false">
      <c r="A5" s="2" t="s">
        <v>306</v>
      </c>
      <c r="B5" s="2" t="s">
        <v>303</v>
      </c>
      <c r="C5" s="2" t="s">
        <v>307</v>
      </c>
      <c r="D5" s="2" t="s">
        <v>308</v>
      </c>
      <c r="E5" s="4" t="n">
        <v>4</v>
      </c>
      <c r="F5" s="2"/>
      <c r="G5" s="4" t="n">
        <v>0</v>
      </c>
      <c r="H5" s="4" t="n">
        <v>0</v>
      </c>
    </row>
    <row r="6" customFormat="false" ht="15" hidden="false" customHeight="false" outlineLevel="0" collapsed="false">
      <c r="A6" s="2" t="s">
        <v>69</v>
      </c>
      <c r="B6" s="2" t="s">
        <v>309</v>
      </c>
      <c r="C6" s="2" t="s">
        <v>310</v>
      </c>
      <c r="D6" s="2" t="s">
        <v>311</v>
      </c>
      <c r="E6" s="4" t="n">
        <v>0</v>
      </c>
      <c r="F6" s="2" t="s">
        <v>164</v>
      </c>
      <c r="G6" s="4" t="n">
        <v>0.3</v>
      </c>
      <c r="H6" s="4" t="n">
        <v>120</v>
      </c>
    </row>
    <row r="7" customFormat="false" ht="15" hidden="false" customHeight="false" outlineLevel="0" collapsed="false">
      <c r="A7" s="2" t="s">
        <v>107</v>
      </c>
      <c r="B7" s="2" t="s">
        <v>312</v>
      </c>
      <c r="C7" s="2" t="s">
        <v>60</v>
      </c>
      <c r="D7" s="2" t="s">
        <v>313</v>
      </c>
      <c r="E7" s="4" t="n">
        <v>0</v>
      </c>
      <c r="F7" s="2"/>
      <c r="G7" s="4" t="n">
        <v>0</v>
      </c>
      <c r="H7" s="4" t="n">
        <v>0</v>
      </c>
    </row>
    <row r="8" customFormat="false" ht="15" hidden="false" customHeight="false" outlineLevel="0" collapsed="false">
      <c r="A8" s="2" t="s">
        <v>314</v>
      </c>
      <c r="B8" s="2" t="s">
        <v>315</v>
      </c>
      <c r="C8" s="2" t="s">
        <v>48</v>
      </c>
      <c r="D8" s="2" t="s">
        <v>316</v>
      </c>
      <c r="E8" s="4" t="n">
        <v>10</v>
      </c>
      <c r="F8" s="2"/>
      <c r="G8" s="4" t="n">
        <v>0</v>
      </c>
      <c r="H8" s="4" t="n">
        <v>0</v>
      </c>
    </row>
    <row r="9" customFormat="false" ht="15" hidden="false" customHeight="false" outlineLevel="0" collapsed="false">
      <c r="A9" s="2" t="s">
        <v>317</v>
      </c>
      <c r="B9" s="2" t="s">
        <v>318</v>
      </c>
      <c r="C9" s="2" t="s">
        <v>180</v>
      </c>
      <c r="D9" s="2" t="s">
        <v>319</v>
      </c>
      <c r="E9" s="4" t="n">
        <v>0</v>
      </c>
      <c r="F9" s="2"/>
      <c r="G9" s="4" t="n">
        <v>0</v>
      </c>
      <c r="H9" s="4" t="n">
        <v>0</v>
      </c>
    </row>
    <row r="10" customFormat="false" ht="15" hidden="false" customHeight="false" outlineLevel="0" collapsed="false">
      <c r="A10" s="2" t="s">
        <v>79</v>
      </c>
      <c r="B10" s="2" t="s">
        <v>296</v>
      </c>
      <c r="C10" s="2" t="s">
        <v>297</v>
      </c>
      <c r="D10" s="2" t="s">
        <v>320</v>
      </c>
      <c r="E10" s="4" t="n">
        <v>0</v>
      </c>
      <c r="F10" s="2" t="s">
        <v>321</v>
      </c>
      <c r="G10" s="4" t="n">
        <v>0.5</v>
      </c>
      <c r="H10" s="4" t="n">
        <v>120</v>
      </c>
    </row>
    <row r="11" customFormat="false" ht="15" hidden="false" customHeight="false" outlineLevel="0" collapsed="false">
      <c r="A11" s="2" t="s">
        <v>122</v>
      </c>
      <c r="B11" s="2" t="s">
        <v>322</v>
      </c>
      <c r="C11" s="2" t="s">
        <v>139</v>
      </c>
      <c r="D11" s="2" t="s">
        <v>323</v>
      </c>
      <c r="E11" s="4" t="n">
        <v>0</v>
      </c>
      <c r="F11" s="2"/>
      <c r="G11" s="4" t="n">
        <v>0</v>
      </c>
      <c r="H11" s="4" t="n">
        <v>0</v>
      </c>
    </row>
    <row r="12" customFormat="false" ht="15" hidden="false" customHeight="false" outlineLevel="0" collapsed="false">
      <c r="A12" s="2" t="s">
        <v>140</v>
      </c>
      <c r="B12" s="2" t="s">
        <v>309</v>
      </c>
      <c r="C12" s="2" t="s">
        <v>324</v>
      </c>
      <c r="D12" s="2" t="s">
        <v>325</v>
      </c>
      <c r="E12" s="4" t="n">
        <v>0</v>
      </c>
      <c r="F12" s="2"/>
      <c r="G12" s="4" t="n">
        <v>0</v>
      </c>
      <c r="H12" s="4" t="n">
        <v>0</v>
      </c>
    </row>
    <row r="13" customFormat="false" ht="15" hidden="false" customHeight="false" outlineLevel="0" collapsed="false">
      <c r="A13" s="2" t="s">
        <v>93</v>
      </c>
      <c r="B13" s="2" t="s">
        <v>326</v>
      </c>
      <c r="C13" s="2" t="s">
        <v>92</v>
      </c>
      <c r="D13" s="2" t="s">
        <v>327</v>
      </c>
      <c r="E13" s="4" t="n">
        <v>0</v>
      </c>
      <c r="F13" s="2" t="s">
        <v>89</v>
      </c>
      <c r="G13" s="4" t="n">
        <v>1</v>
      </c>
      <c r="H13" s="4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3" t="s">
        <v>328</v>
      </c>
      <c r="B1" s="3" t="s">
        <v>329</v>
      </c>
      <c r="C1" s="3" t="s">
        <v>330</v>
      </c>
      <c r="D1" s="3" t="s">
        <v>331</v>
      </c>
      <c r="E1" s="3" t="s">
        <v>332</v>
      </c>
      <c r="F1" s="3" t="s">
        <v>333</v>
      </c>
    </row>
    <row r="2" customFormat="false" ht="15" hidden="false" customHeight="false" outlineLevel="0" collapsed="false">
      <c r="A2" s="2" t="s">
        <v>334</v>
      </c>
      <c r="B2" s="2" t="s">
        <v>39</v>
      </c>
      <c r="C2" s="4" t="n">
        <v>50</v>
      </c>
      <c r="D2" s="4" t="n">
        <v>20</v>
      </c>
      <c r="E2" s="4" t="n">
        <v>1.03</v>
      </c>
      <c r="F2" s="2" t="n">
        <f aca="false">ROUND(C2*E2^9,0)</f>
        <v>65</v>
      </c>
    </row>
    <row r="3" customFormat="false" ht="15" hidden="false" customHeight="false" outlineLevel="0" collapsed="false">
      <c r="A3" s="2" t="s">
        <v>334</v>
      </c>
      <c r="B3" s="2" t="s">
        <v>81</v>
      </c>
      <c r="C3" s="4" t="n">
        <v>3</v>
      </c>
      <c r="D3" s="4" t="n">
        <v>120</v>
      </c>
      <c r="E3" s="4" t="n">
        <v>1.03</v>
      </c>
      <c r="F3" s="2" t="n">
        <f aca="false">ROUND(C3*E3^9,0)</f>
        <v>4</v>
      </c>
    </row>
    <row r="4" customFormat="false" ht="15" hidden="false" customHeight="false" outlineLevel="0" collapsed="false">
      <c r="A4" s="2" t="s">
        <v>334</v>
      </c>
      <c r="B4" s="2" t="s">
        <v>98</v>
      </c>
      <c r="C4" s="4" t="n">
        <v>5</v>
      </c>
      <c r="D4" s="4" t="n">
        <v>90</v>
      </c>
      <c r="E4" s="4" t="n">
        <v>1.03</v>
      </c>
      <c r="F4" s="2" t="n">
        <f aca="false">ROUND(C4*E4^9,0)</f>
        <v>7</v>
      </c>
    </row>
    <row r="5" customFormat="false" ht="15" hidden="false" customHeight="false" outlineLevel="0" collapsed="false">
      <c r="A5" s="2" t="s">
        <v>334</v>
      </c>
      <c r="B5" s="2" t="s">
        <v>150</v>
      </c>
      <c r="C5" s="4" t="n">
        <v>1</v>
      </c>
      <c r="D5" s="4" t="n">
        <v>240</v>
      </c>
      <c r="E5" s="4" t="n">
        <v>1.03</v>
      </c>
      <c r="F5" s="2" t="n">
        <f aca="false">ROUND(C5*E5^9,0)</f>
        <v>1</v>
      </c>
    </row>
    <row r="6" customFormat="false" ht="15" hidden="false" customHeight="false" outlineLevel="0" collapsed="false">
      <c r="A6" s="2" t="s">
        <v>334</v>
      </c>
      <c r="B6" s="2" t="s">
        <v>175</v>
      </c>
      <c r="C6" s="4" t="n">
        <v>1</v>
      </c>
      <c r="D6" s="4" t="n">
        <v>0</v>
      </c>
      <c r="E6" s="4" t="n">
        <v>1.03</v>
      </c>
      <c r="F6" s="2" t="n">
        <f aca="false">ROUND(C6*E6^9,0)</f>
        <v>1</v>
      </c>
    </row>
    <row r="7" customFormat="false" ht="15" hidden="false" customHeight="false" outlineLevel="0" collapsed="false">
      <c r="A7" s="2" t="s">
        <v>334</v>
      </c>
      <c r="B7" s="2" t="s">
        <v>128</v>
      </c>
      <c r="C7" s="4" t="n">
        <v>1</v>
      </c>
      <c r="D7" s="4" t="n">
        <v>300</v>
      </c>
      <c r="E7" s="4" t="n">
        <v>1.03</v>
      </c>
      <c r="F7" s="2" t="n">
        <f aca="false">ROUND(C7*E7^9,0)</f>
        <v>1</v>
      </c>
    </row>
    <row r="8" customFormat="false" ht="15" hidden="false" customHeight="false" outlineLevel="0" collapsed="false">
      <c r="A8" s="2" t="s">
        <v>335</v>
      </c>
      <c r="B8" s="2" t="s">
        <v>62</v>
      </c>
      <c r="C8" s="4" t="n">
        <v>2</v>
      </c>
      <c r="D8" s="4" t="n">
        <v>300</v>
      </c>
      <c r="E8" s="4" t="n">
        <v>1.03</v>
      </c>
      <c r="F8" s="2" t="n">
        <f aca="false">ROUND(C8*E8^9,0)</f>
        <v>3</v>
      </c>
    </row>
    <row r="9" customFormat="false" ht="15" hidden="false" customHeight="false" outlineLevel="0" collapsed="false">
      <c r="A9" s="2" t="s">
        <v>335</v>
      </c>
      <c r="B9" s="2" t="s">
        <v>66</v>
      </c>
      <c r="C9" s="4" t="n">
        <v>6</v>
      </c>
      <c r="D9" s="4" t="n">
        <v>300</v>
      </c>
      <c r="E9" s="4" t="n">
        <v>1.03</v>
      </c>
      <c r="F9" s="2" t="n">
        <f aca="false">ROUND(C9*E9^9,0)</f>
        <v>8</v>
      </c>
    </row>
    <row r="10" customFormat="false" ht="15" hidden="false" customHeight="false" outlineLevel="0" collapsed="false">
      <c r="A10" s="2" t="s">
        <v>335</v>
      </c>
      <c r="B10" s="2" t="s">
        <v>133</v>
      </c>
      <c r="C10" s="4" t="n">
        <v>2</v>
      </c>
      <c r="D10" s="4" t="n">
        <v>0</v>
      </c>
      <c r="E10" s="4" t="n">
        <v>1.03</v>
      </c>
      <c r="F10" s="2" t="n">
        <f aca="false">ROUND(C10*E10^9,0)</f>
        <v>3</v>
      </c>
    </row>
    <row r="11" customFormat="false" ht="15" hidden="false" customHeight="false" outlineLevel="0" collapsed="false">
      <c r="A11" s="2" t="s">
        <v>335</v>
      </c>
      <c r="B11" s="2" t="s">
        <v>39</v>
      </c>
      <c r="C11" s="4" t="n">
        <v>30</v>
      </c>
      <c r="D11" s="4" t="n">
        <v>20</v>
      </c>
      <c r="E11" s="4" t="n">
        <v>1.03</v>
      </c>
      <c r="F11" s="2" t="n">
        <f aca="false">ROUND(C11*E11^9,0)</f>
        <v>39</v>
      </c>
    </row>
    <row r="12" customFormat="false" ht="15" hidden="false" customHeight="false" outlineLevel="0" collapsed="false">
      <c r="A12" s="2" t="s">
        <v>336</v>
      </c>
      <c r="B12" s="2" t="s">
        <v>57</v>
      </c>
      <c r="C12" s="4" t="n">
        <v>12</v>
      </c>
      <c r="D12" s="4" t="n">
        <v>60</v>
      </c>
      <c r="E12" s="4" t="n">
        <v>1.03</v>
      </c>
      <c r="F12" s="2" t="n">
        <f aca="false">ROUND(C12*E12^9,0)</f>
        <v>16</v>
      </c>
    </row>
    <row r="13" customFormat="false" ht="15" hidden="false" customHeight="false" outlineLevel="0" collapsed="false">
      <c r="A13" s="2" t="s">
        <v>336</v>
      </c>
      <c r="B13" s="2" t="s">
        <v>103</v>
      </c>
      <c r="C13" s="4" t="n">
        <v>6</v>
      </c>
      <c r="D13" s="4" t="n">
        <v>90</v>
      </c>
      <c r="E13" s="4" t="n">
        <v>1.03</v>
      </c>
      <c r="F13" s="2" t="n">
        <f aca="false">ROUND(C13*E13^9,0)</f>
        <v>8</v>
      </c>
    </row>
    <row r="14" customFormat="false" ht="15" hidden="false" customHeight="false" outlineLevel="0" collapsed="false">
      <c r="A14" s="2" t="s">
        <v>336</v>
      </c>
      <c r="B14" s="2" t="s">
        <v>106</v>
      </c>
      <c r="C14" s="4" t="n">
        <v>6</v>
      </c>
      <c r="D14" s="4" t="n">
        <v>120</v>
      </c>
      <c r="E14" s="4" t="n">
        <v>1.03</v>
      </c>
      <c r="F14" s="2" t="n">
        <f aca="false">ROUND(C14*E14^9,0)</f>
        <v>8</v>
      </c>
    </row>
    <row r="15" customFormat="false" ht="15" hidden="false" customHeight="false" outlineLevel="0" collapsed="false">
      <c r="A15" s="2" t="s">
        <v>336</v>
      </c>
      <c r="B15" s="2" t="s">
        <v>85</v>
      </c>
      <c r="C15" s="4" t="n">
        <v>10</v>
      </c>
      <c r="D15" s="4" t="n">
        <v>0</v>
      </c>
      <c r="E15" s="4" t="n">
        <v>1.03</v>
      </c>
      <c r="F15" s="2" t="n">
        <f aca="false">ROUND(C15*E15^9,0)</f>
        <v>13</v>
      </c>
    </row>
    <row r="16" customFormat="false" ht="15" hidden="false" customHeight="false" outlineLevel="0" collapsed="false">
      <c r="A16" s="2" t="s">
        <v>336</v>
      </c>
      <c r="B16" s="2" t="s">
        <v>113</v>
      </c>
      <c r="C16" s="4" t="n">
        <v>3</v>
      </c>
      <c r="D16" s="4" t="n">
        <v>180</v>
      </c>
      <c r="E16" s="4" t="n">
        <v>1.03</v>
      </c>
      <c r="F16" s="2" t="n">
        <f aca="false">ROUND(C16*E16^9,0)</f>
        <v>4</v>
      </c>
    </row>
    <row r="17" customFormat="false" ht="15" hidden="false" customHeight="false" outlineLevel="0" collapsed="false">
      <c r="A17" s="2" t="s">
        <v>336</v>
      </c>
      <c r="B17" s="2" t="s">
        <v>117</v>
      </c>
      <c r="C17" s="4" t="n">
        <v>3</v>
      </c>
      <c r="D17" s="4" t="n">
        <v>180</v>
      </c>
      <c r="E17" s="4" t="n">
        <v>1.03</v>
      </c>
      <c r="F17" s="2" t="n">
        <f aca="false">ROUND(C17*E17^9,0)</f>
        <v>4</v>
      </c>
    </row>
    <row r="18" customFormat="false" ht="15" hidden="false" customHeight="false" outlineLevel="0" collapsed="false">
      <c r="A18" s="2" t="s">
        <v>336</v>
      </c>
      <c r="B18" s="2" t="s">
        <v>125</v>
      </c>
      <c r="C18" s="4" t="n">
        <v>2</v>
      </c>
      <c r="D18" s="4" t="n">
        <v>240</v>
      </c>
      <c r="E18" s="4" t="n">
        <v>1.03</v>
      </c>
      <c r="F18" s="2" t="n">
        <f aca="false">ROUND(C18*E18^9,0)</f>
        <v>3</v>
      </c>
    </row>
    <row r="19" customFormat="false" ht="15" hidden="false" customHeight="false" outlineLevel="0" collapsed="false">
      <c r="A19" s="2" t="s">
        <v>336</v>
      </c>
      <c r="B19" s="2" t="s">
        <v>148</v>
      </c>
      <c r="C19" s="4" t="n">
        <v>4</v>
      </c>
      <c r="D19" s="4" t="n">
        <v>360</v>
      </c>
      <c r="E19" s="4" t="n">
        <v>1.03</v>
      </c>
      <c r="F19" s="2" t="n">
        <f aca="false">ROUND(C19*E19^9,0)</f>
        <v>5</v>
      </c>
    </row>
    <row r="20" customFormat="false" ht="15" hidden="false" customHeight="false" outlineLevel="0" collapsed="false">
      <c r="A20" s="2" t="s">
        <v>336</v>
      </c>
      <c r="B20" s="2" t="s">
        <v>158</v>
      </c>
      <c r="C20" s="4" t="n">
        <v>1</v>
      </c>
      <c r="D20" s="4" t="n">
        <v>600</v>
      </c>
      <c r="E20" s="4" t="n">
        <v>1.03</v>
      </c>
      <c r="F20" s="2" t="n">
        <f aca="false">ROUND(C20*E20^9,0)</f>
        <v>1</v>
      </c>
    </row>
    <row r="21" customFormat="false" ht="15" hidden="false" customHeight="false" outlineLevel="0" collapsed="false">
      <c r="A21" s="2" t="s">
        <v>336</v>
      </c>
      <c r="B21" s="2" t="s">
        <v>95</v>
      </c>
      <c r="C21" s="4" t="n">
        <v>3</v>
      </c>
      <c r="D21" s="4" t="n">
        <v>150</v>
      </c>
      <c r="E21" s="4" t="n">
        <v>1.03</v>
      </c>
      <c r="F21" s="2" t="n">
        <f aca="false">ROUND(C21*E21^9,0)</f>
        <v>4</v>
      </c>
    </row>
    <row r="22" customFormat="false" ht="15" hidden="false" customHeight="false" outlineLevel="0" collapsed="false">
      <c r="A22" s="2" t="s">
        <v>337</v>
      </c>
      <c r="B22" s="2" t="s">
        <v>89</v>
      </c>
      <c r="C22" s="4" t="n">
        <v>1</v>
      </c>
      <c r="D22" s="4" t="n">
        <v>60</v>
      </c>
      <c r="E22" s="4" t="n">
        <v>1.03</v>
      </c>
      <c r="F22" s="2" t="n">
        <f aca="false">ROUND(C22*E22^9,0)</f>
        <v>1</v>
      </c>
    </row>
    <row r="23" customFormat="false" ht="15" hidden="false" customHeight="false" outlineLevel="0" collapsed="false">
      <c r="A23" s="2" t="s">
        <v>337</v>
      </c>
      <c r="B23" s="2" t="s">
        <v>152</v>
      </c>
      <c r="C23" s="4" t="n">
        <v>2</v>
      </c>
      <c r="D23" s="4" t="n">
        <v>300</v>
      </c>
      <c r="E23" s="4" t="n">
        <v>1.03</v>
      </c>
      <c r="F23" s="2" t="n">
        <f aca="false">ROUND(C23*E23^9,0)</f>
        <v>3</v>
      </c>
    </row>
    <row r="24" customFormat="false" ht="15" hidden="false" customHeight="false" outlineLevel="0" collapsed="false">
      <c r="A24" s="2" t="s">
        <v>337</v>
      </c>
      <c r="B24" s="2" t="s">
        <v>146</v>
      </c>
      <c r="C24" s="4" t="n">
        <v>3</v>
      </c>
      <c r="D24" s="4" t="n">
        <v>240</v>
      </c>
      <c r="E24" s="4" t="n">
        <v>1.03</v>
      </c>
      <c r="F24" s="2" t="n">
        <f aca="false">ROUND(C24*E24^9,0)</f>
        <v>4</v>
      </c>
    </row>
    <row r="25" customFormat="false" ht="15" hidden="false" customHeight="false" outlineLevel="0" collapsed="false">
      <c r="A25" s="2" t="s">
        <v>337</v>
      </c>
      <c r="B25" s="2" t="s">
        <v>182</v>
      </c>
      <c r="C25" s="4" t="n">
        <v>1</v>
      </c>
      <c r="D25" s="4" t="n">
        <v>0</v>
      </c>
      <c r="E25" s="4" t="n">
        <v>1.03</v>
      </c>
      <c r="F25" s="2" t="n">
        <f aca="false">ROUND(C25*E25^9,0)</f>
        <v>1</v>
      </c>
    </row>
    <row r="26" customFormat="false" ht="15" hidden="false" customHeight="false" outlineLevel="0" collapsed="false">
      <c r="A26" s="2" t="s">
        <v>338</v>
      </c>
      <c r="B26" s="2" t="s">
        <v>136</v>
      </c>
      <c r="C26" s="4" t="n">
        <v>1</v>
      </c>
      <c r="D26" s="4" t="n">
        <v>180</v>
      </c>
      <c r="E26" s="4" t="n">
        <v>1.03</v>
      </c>
      <c r="F26" s="2" t="n">
        <f aca="false">ROUND(C26*E26^9,0)</f>
        <v>1</v>
      </c>
    </row>
    <row r="27" customFormat="false" ht="15" hidden="false" customHeight="false" outlineLevel="0" collapsed="false">
      <c r="A27" s="2" t="s">
        <v>338</v>
      </c>
      <c r="B27" s="2" t="s">
        <v>164</v>
      </c>
      <c r="C27" s="4" t="n">
        <v>1</v>
      </c>
      <c r="D27" s="4" t="n">
        <v>400</v>
      </c>
      <c r="E27" s="4" t="n">
        <v>1.03</v>
      </c>
      <c r="F27" s="2" t="n">
        <f aca="false">ROUND(C27*E27^9,0)</f>
        <v>1</v>
      </c>
    </row>
    <row r="28" customFormat="false" ht="15" hidden="false" customHeight="false" outlineLevel="0" collapsed="false">
      <c r="A28" s="2" t="s">
        <v>338</v>
      </c>
      <c r="B28" s="2" t="s">
        <v>173</v>
      </c>
      <c r="C28" s="4" t="n">
        <v>1</v>
      </c>
      <c r="D28" s="4" t="n">
        <v>600</v>
      </c>
      <c r="E28" s="4" t="n">
        <v>1.03</v>
      </c>
      <c r="F28" s="2" t="n">
        <f aca="false">ROUND(C28*E28^9,0)</f>
        <v>1</v>
      </c>
    </row>
    <row r="29" customFormat="false" ht="15" hidden="false" customHeight="false" outlineLevel="0" collapsed="false">
      <c r="A29" s="2" t="s">
        <v>338</v>
      </c>
      <c r="B29" s="2" t="s">
        <v>120</v>
      </c>
      <c r="C29" s="4" t="n">
        <v>8</v>
      </c>
      <c r="D29" s="4" t="n">
        <v>120</v>
      </c>
      <c r="E29" s="4" t="n">
        <v>1.03</v>
      </c>
      <c r="F29" s="2" t="n">
        <f aca="false">ROUND(C29*E29^9,0)</f>
        <v>10</v>
      </c>
    </row>
    <row r="30" customFormat="false" ht="15" hidden="false" customHeight="false" outlineLevel="0" collapsed="false">
      <c r="A30" s="2" t="s">
        <v>339</v>
      </c>
      <c r="B30" s="2" t="s">
        <v>47</v>
      </c>
      <c r="C30" s="4" t="n">
        <v>60</v>
      </c>
      <c r="D30" s="4" t="n">
        <v>20</v>
      </c>
      <c r="E30" s="4" t="n">
        <v>1.03</v>
      </c>
      <c r="F30" s="2" t="n">
        <f aca="false">ROUND(C30*E30^9,0)</f>
        <v>78</v>
      </c>
    </row>
    <row r="31" customFormat="false" ht="15" hidden="false" customHeight="false" outlineLevel="0" collapsed="false">
      <c r="A31" s="2" t="s">
        <v>339</v>
      </c>
      <c r="B31" s="2" t="s">
        <v>51</v>
      </c>
      <c r="C31" s="4" t="n">
        <v>6</v>
      </c>
      <c r="D31" s="4" t="n">
        <v>90</v>
      </c>
      <c r="E31" s="4" t="n">
        <v>1.03</v>
      </c>
      <c r="F31" s="2" t="n">
        <f aca="false">ROUND(C31*E31^9,0)</f>
        <v>8</v>
      </c>
    </row>
    <row r="32" customFormat="false" ht="15" hidden="false" customHeight="false" outlineLevel="0" collapsed="false">
      <c r="A32" s="2" t="s">
        <v>339</v>
      </c>
      <c r="B32" s="2" t="s">
        <v>71</v>
      </c>
      <c r="C32" s="4" t="n">
        <v>10</v>
      </c>
      <c r="D32" s="4" t="n">
        <v>60</v>
      </c>
      <c r="E32" s="4" t="n">
        <v>1.03</v>
      </c>
      <c r="F32" s="2" t="n">
        <f aca="false">ROUND(C32*E32^9,0)</f>
        <v>13</v>
      </c>
    </row>
    <row r="33" customFormat="false" ht="15" hidden="false" customHeight="false" outlineLevel="0" collapsed="false">
      <c r="A33" s="2" t="s">
        <v>339</v>
      </c>
      <c r="B33" s="2" t="s">
        <v>74</v>
      </c>
      <c r="C33" s="4" t="n">
        <v>8</v>
      </c>
      <c r="D33" s="4" t="n">
        <v>90</v>
      </c>
      <c r="E33" s="4" t="n">
        <v>1.03</v>
      </c>
      <c r="F33" s="2" t="n">
        <f aca="false">ROUND(C33*E33^9,0)</f>
        <v>10</v>
      </c>
    </row>
    <row r="34" customFormat="false" ht="15" hidden="false" customHeight="false" outlineLevel="0" collapsed="false">
      <c r="A34" s="2" t="s">
        <v>339</v>
      </c>
      <c r="B34" s="2" t="s">
        <v>77</v>
      </c>
      <c r="C34" s="4" t="n">
        <v>8</v>
      </c>
      <c r="D34" s="4" t="n">
        <v>120</v>
      </c>
      <c r="E34" s="4" t="n">
        <v>1.03</v>
      </c>
      <c r="F34" s="2" t="n">
        <f aca="false">ROUND(C34*E34^9,0)</f>
        <v>10</v>
      </c>
    </row>
    <row r="35" customFormat="false" ht="15" hidden="false" customHeight="false" outlineLevel="0" collapsed="false">
      <c r="A35" s="2" t="s">
        <v>339</v>
      </c>
      <c r="B35" s="2" t="s">
        <v>101</v>
      </c>
      <c r="C35" s="4" t="n">
        <v>8</v>
      </c>
      <c r="D35" s="4" t="n">
        <v>90</v>
      </c>
      <c r="E35" s="4" t="n">
        <v>1.03</v>
      </c>
      <c r="F35" s="2" t="n">
        <f aca="false">ROUND(C35*E35^9,0)</f>
        <v>10</v>
      </c>
    </row>
    <row r="36" customFormat="false" ht="15" hidden="false" customHeight="false" outlineLevel="0" collapsed="false">
      <c r="A36" s="2" t="s">
        <v>339</v>
      </c>
      <c r="B36" s="2" t="s">
        <v>109</v>
      </c>
      <c r="C36" s="4" t="n">
        <v>3</v>
      </c>
      <c r="D36" s="4" t="n">
        <v>300</v>
      </c>
      <c r="E36" s="4" t="n">
        <v>1.03</v>
      </c>
      <c r="F36" s="2" t="n">
        <f aca="false">ROUND(C36*E36^9,0)</f>
        <v>4</v>
      </c>
    </row>
    <row r="37" customFormat="false" ht="15" hidden="false" customHeight="false" outlineLevel="0" collapsed="false">
      <c r="A37" s="2" t="s">
        <v>339</v>
      </c>
      <c r="B37" s="2" t="s">
        <v>95</v>
      </c>
      <c r="C37" s="4" t="n">
        <v>4</v>
      </c>
      <c r="D37" s="4" t="n">
        <v>150</v>
      </c>
      <c r="E37" s="4" t="n">
        <v>1.03</v>
      </c>
      <c r="F37" s="2" t="n">
        <f aca="false">ROUND(C37*E37^9,0)</f>
        <v>5</v>
      </c>
    </row>
    <row r="38" customFormat="false" ht="15" hidden="false" customHeight="false" outlineLevel="0" collapsed="false">
      <c r="A38" s="2" t="s">
        <v>339</v>
      </c>
      <c r="B38" s="2" t="s">
        <v>142</v>
      </c>
      <c r="C38" s="4" t="n">
        <v>4</v>
      </c>
      <c r="D38" s="4" t="n">
        <v>120</v>
      </c>
      <c r="E38" s="4" t="n">
        <v>1.03</v>
      </c>
      <c r="F38" s="2" t="n">
        <f aca="false">ROUND(C38*E38^9,0)</f>
        <v>5</v>
      </c>
    </row>
    <row r="39" customFormat="false" ht="15" hidden="false" customHeight="false" outlineLevel="0" collapsed="false">
      <c r="A39" s="2" t="s">
        <v>339</v>
      </c>
      <c r="B39" s="2" t="s">
        <v>154</v>
      </c>
      <c r="C39" s="4" t="n">
        <v>5</v>
      </c>
      <c r="D39" s="4" t="n">
        <v>300</v>
      </c>
      <c r="E39" s="4" t="n">
        <v>1.03</v>
      </c>
      <c r="F39" s="2" t="n">
        <f aca="false">ROUND(C39*E39^9,0)</f>
        <v>7</v>
      </c>
    </row>
    <row r="40" customFormat="false" ht="15" hidden="false" customHeight="false" outlineLevel="0" collapsed="false">
      <c r="A40" s="2" t="s">
        <v>339</v>
      </c>
      <c r="B40" s="2" t="s">
        <v>161</v>
      </c>
      <c r="C40" s="4" t="n">
        <v>1</v>
      </c>
      <c r="D40" s="4" t="n">
        <v>500</v>
      </c>
      <c r="E40" s="4" t="n">
        <v>1.03</v>
      </c>
      <c r="F40" s="2" t="n">
        <f aca="false">ROUND(C40*E40^9,0)</f>
        <v>1</v>
      </c>
    </row>
    <row r="41" customFormat="false" ht="15" hidden="false" customHeight="false" outlineLevel="0" collapsed="false">
      <c r="A41" s="2" t="s">
        <v>339</v>
      </c>
      <c r="B41" s="2" t="s">
        <v>168</v>
      </c>
      <c r="C41" s="4" t="n">
        <v>1</v>
      </c>
      <c r="D41" s="4" t="n">
        <v>500</v>
      </c>
      <c r="E41" s="4" t="n">
        <v>1.03</v>
      </c>
      <c r="F41" s="2" t="n">
        <f aca="false">ROUND(C41*E41^9,0)</f>
        <v>1</v>
      </c>
    </row>
    <row r="42" customFormat="false" ht="15" hidden="false" customHeight="false" outlineLevel="0" collapsed="false">
      <c r="A42" s="2" t="s">
        <v>339</v>
      </c>
      <c r="B42" s="2" t="s">
        <v>170</v>
      </c>
      <c r="C42" s="4" t="n">
        <v>1</v>
      </c>
      <c r="D42" s="4" t="n">
        <v>700</v>
      </c>
      <c r="E42" s="4" t="n">
        <v>1.03</v>
      </c>
      <c r="F42" s="2" t="n">
        <f aca="false">ROUND(C42*E42^9,0)</f>
        <v>1</v>
      </c>
    </row>
    <row r="43" customFormat="false" ht="15" hidden="false" customHeight="false" outlineLevel="0" collapsed="false">
      <c r="A43" s="2" t="s">
        <v>180</v>
      </c>
      <c r="B43" s="2" t="s">
        <v>179</v>
      </c>
      <c r="C43" s="4" t="n">
        <v>1</v>
      </c>
      <c r="D43" s="4" t="n">
        <v>900</v>
      </c>
      <c r="E43" s="4" t="n">
        <v>1.03</v>
      </c>
      <c r="F43" s="2" t="n">
        <f aca="false">ROUND(C43*E43^9,0)</f>
        <v>1</v>
      </c>
    </row>
    <row r="45" customFormat="false" ht="15" hidden="false" customHeight="false" outlineLevel="0" collapsed="false">
      <c r="A45" s="2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8"/>
  </cols>
  <sheetData>
    <row r="1" customFormat="false" ht="1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  <c r="B2" s="4" t="n">
        <v>12</v>
      </c>
    </row>
    <row r="3" customFormat="false" ht="15" hidden="false" customHeight="false" outlineLevel="0" collapsed="false">
      <c r="A3" s="2" t="s">
        <v>343</v>
      </c>
      <c r="B3" s="4" t="n">
        <v>1.15</v>
      </c>
    </row>
    <row r="4" customFormat="false" ht="15" hidden="false" customHeight="false" outlineLevel="0" collapsed="false">
      <c r="A4" s="2" t="s">
        <v>344</v>
      </c>
      <c r="B4" s="4" t="n">
        <v>1.08</v>
      </c>
    </row>
    <row r="5" customFormat="false" ht="15" hidden="false" customHeight="false" outlineLevel="0" collapsed="false">
      <c r="A5" s="2" t="s">
        <v>345</v>
      </c>
      <c r="B5" s="4" t="n">
        <v>1.1</v>
      </c>
    </row>
    <row r="6" customFormat="false" ht="15" hidden="false" customHeight="false" outlineLevel="0" collapsed="false">
      <c r="A6" s="2" t="s">
        <v>346</v>
      </c>
      <c r="B6" s="4" t="n">
        <v>1.05</v>
      </c>
    </row>
    <row r="7" customFormat="false" ht="15" hidden="false" customHeight="false" outlineLevel="0" collapsed="false">
      <c r="A7" s="2" t="s">
        <v>347</v>
      </c>
      <c r="B7" s="4" t="n">
        <v>100</v>
      </c>
    </row>
    <row r="8" customFormat="false" ht="15" hidden="false" customHeight="false" outlineLevel="0" collapsed="false">
      <c r="A8" s="2" t="s">
        <v>348</v>
      </c>
      <c r="B8" s="4" t="n">
        <v>0.1</v>
      </c>
    </row>
    <row r="9" customFormat="false" ht="15" hidden="false" customHeight="false" outlineLevel="0" collapsed="false">
      <c r="A9" s="2" t="s">
        <v>349</v>
      </c>
      <c r="B9" s="4" t="n">
        <v>0.1</v>
      </c>
    </row>
    <row r="10" customFormat="false" ht="15" hidden="false" customHeight="false" outlineLevel="0" collapsed="false">
      <c r="A10" s="2" t="s">
        <v>350</v>
      </c>
      <c r="B10" s="4" t="n">
        <v>0.03</v>
      </c>
    </row>
    <row r="11" customFormat="false" ht="15" hidden="false" customHeight="false" outlineLevel="0" collapsed="false">
      <c r="A11" s="2" t="s">
        <v>351</v>
      </c>
      <c r="B11" s="4" t="n">
        <v>0.7</v>
      </c>
    </row>
    <row r="12" customFormat="false" ht="15" hidden="false" customHeight="false" outlineLevel="0" collapsed="false">
      <c r="A12" s="2" t="s">
        <v>352</v>
      </c>
      <c r="B12" s="4" t="n">
        <v>0.02</v>
      </c>
    </row>
    <row r="13" customFormat="false" ht="15" hidden="false" customHeight="false" outlineLevel="0" collapsed="false">
      <c r="A13" s="2" t="s">
        <v>353</v>
      </c>
      <c r="B13" s="4" t="n">
        <v>0.01</v>
      </c>
    </row>
    <row r="14" customFormat="false" ht="15" hidden="false" customHeight="false" outlineLevel="0" collapsed="false">
      <c r="A14" s="2" t="s">
        <v>354</v>
      </c>
      <c r="B14" s="4" t="n">
        <v>0.005</v>
      </c>
    </row>
    <row r="15" customFormat="false" ht="15" hidden="false" customHeight="false" outlineLevel="0" collapsed="false">
      <c r="A15" s="2" t="s">
        <v>355</v>
      </c>
      <c r="B15" s="4" t="n">
        <v>20</v>
      </c>
    </row>
    <row r="18" customFormat="false" ht="15" hidden="false" customHeight="false" outlineLevel="0" collapsed="false">
      <c r="A18" s="3" t="s">
        <v>356</v>
      </c>
      <c r="B18" s="3" t="s">
        <v>357</v>
      </c>
      <c r="C18" s="3" t="s">
        <v>358</v>
      </c>
      <c r="D18" s="3" t="s">
        <v>359</v>
      </c>
      <c r="E18" s="3" t="s">
        <v>360</v>
      </c>
      <c r="F18" s="3" t="s">
        <v>361</v>
      </c>
      <c r="G18" s="3" t="s">
        <v>362</v>
      </c>
      <c r="H18" s="3" t="s">
        <v>363</v>
      </c>
      <c r="I18" s="3" t="s">
        <v>364</v>
      </c>
      <c r="J18" s="3" t="s">
        <v>365</v>
      </c>
      <c r="K18" s="3" t="s">
        <v>366</v>
      </c>
      <c r="L18" s="3" t="s">
        <v>367</v>
      </c>
    </row>
    <row r="19" customFormat="false" ht="15" hidden="false" customHeight="false" outlineLevel="0" collapsed="false">
      <c r="A19" s="2" t="n">
        <v>1</v>
      </c>
      <c r="B19" s="2" t="n">
        <f aca="false">ROUND($B$2*$B$3^(A19-1),0)</f>
        <v>12</v>
      </c>
      <c r="C19" s="2" t="n">
        <f aca="false">ROUND($B$4^(A19-1),3)</f>
        <v>1</v>
      </c>
      <c r="D19" s="2" t="n">
        <f aca="false">ROUND($B$5^(A19-1),3)</f>
        <v>1</v>
      </c>
      <c r="E19" s="2" t="n">
        <f aca="false">ROUND($B$6^(A19-1),3)</f>
        <v>1</v>
      </c>
      <c r="F19" s="2" t="n">
        <f aca="false">ROUND($B$7/(1+$B$8*A19),1)</f>
        <v>90.9</v>
      </c>
      <c r="G19" s="2" t="n">
        <f aca="false">IF(A19&lt;4,0,MIN($B$11,$B$9+$B$10*A19))</f>
        <v>0</v>
      </c>
      <c r="H19" s="2" t="n">
        <f aca="false">IF(A19&lt;10,$B$12,IF(A19&lt;20,$B$13,$B$14))</f>
        <v>0.02</v>
      </c>
      <c r="I19" s="2" t="str">
        <f aca="false">IF(A19&lt;5,"none",IF(MOD(A19,5)=0,IF(A19&gt;=10,"Faction or Predator","Faction"),"none"))</f>
        <v>none</v>
      </c>
      <c r="J19" s="2" t="str">
        <f aca="false">IF(A19&gt;=10,"yes","no")</f>
        <v>no</v>
      </c>
      <c r="K19" s="2" t="str">
        <f aca="false">IF(A19&gt;=12,"yes",IF(A19&gt;=10,"Predator Hunt only","no"))</f>
        <v>no</v>
      </c>
      <c r="L19" s="2" t="n">
        <f aca="false">100*A19</f>
        <v>100</v>
      </c>
    </row>
    <row r="20" customFormat="false" ht="15" hidden="false" customHeight="false" outlineLevel="0" collapsed="false">
      <c r="A20" s="2" t="n">
        <v>2</v>
      </c>
      <c r="B20" s="2" t="n">
        <f aca="false">ROUND($B$2*$B$3^(A20-1),0)</f>
        <v>14</v>
      </c>
      <c r="C20" s="2" t="n">
        <f aca="false">ROUND($B$4^(A20-1),3)</f>
        <v>1.08</v>
      </c>
      <c r="D20" s="2" t="n">
        <f aca="false">ROUND($B$5^(A20-1),3)</f>
        <v>1.1</v>
      </c>
      <c r="E20" s="2" t="n">
        <f aca="false">ROUND($B$6^(A20-1),3)</f>
        <v>1.05</v>
      </c>
      <c r="F20" s="2" t="n">
        <f aca="false">ROUND($B$7/(1+$B$8*A20),1)</f>
        <v>83.3</v>
      </c>
      <c r="G20" s="2" t="n">
        <f aca="false">IF(A20&lt;4,0,MIN($B$11,$B$9+$B$10*A20))</f>
        <v>0</v>
      </c>
      <c r="H20" s="2" t="n">
        <f aca="false">IF(A20&lt;10,$B$12,IF(A20&lt;20,$B$13,$B$14))</f>
        <v>0.02</v>
      </c>
      <c r="I20" s="2" t="str">
        <f aca="false">IF(A20&lt;5,"none",IF(MOD(A20,5)=0,IF(A20&gt;=10,"Faction or Predator","Faction"),"none"))</f>
        <v>none</v>
      </c>
      <c r="J20" s="2" t="str">
        <f aca="false">IF(A20&gt;=10,"yes","no")</f>
        <v>no</v>
      </c>
      <c r="K20" s="2" t="str">
        <f aca="false">IF(A20&gt;=12,"yes",IF(A20&gt;=10,"Predator Hunt only","no"))</f>
        <v>no</v>
      </c>
      <c r="L20" s="2" t="n">
        <f aca="false">100*A20</f>
        <v>200</v>
      </c>
    </row>
    <row r="21" customFormat="false" ht="15" hidden="false" customHeight="false" outlineLevel="0" collapsed="false">
      <c r="A21" s="2" t="n">
        <v>3</v>
      </c>
      <c r="B21" s="2" t="n">
        <f aca="false">ROUND($B$2*$B$3^(A21-1),0)</f>
        <v>16</v>
      </c>
      <c r="C21" s="2" t="n">
        <f aca="false">ROUND($B$4^(A21-1),3)</f>
        <v>1.166</v>
      </c>
      <c r="D21" s="2" t="n">
        <f aca="false">ROUND($B$5^(A21-1),3)</f>
        <v>1.21</v>
      </c>
      <c r="E21" s="2" t="n">
        <f aca="false">ROUND($B$6^(A21-1),3)</f>
        <v>1.103</v>
      </c>
      <c r="F21" s="2" t="n">
        <f aca="false">ROUND($B$7/(1+$B$8*A21),1)</f>
        <v>76.9</v>
      </c>
      <c r="G21" s="2" t="n">
        <f aca="false">IF(A21&lt;4,0,MIN($B$11,$B$9+$B$10*A21))</f>
        <v>0</v>
      </c>
      <c r="H21" s="2" t="n">
        <f aca="false">IF(A21&lt;10,$B$12,IF(A21&lt;20,$B$13,$B$14))</f>
        <v>0.02</v>
      </c>
      <c r="I21" s="2" t="str">
        <f aca="false">IF(A21&lt;5,"none",IF(MOD(A21,5)=0,IF(A21&gt;=10,"Faction or Predator","Faction"),"none"))</f>
        <v>none</v>
      </c>
      <c r="J21" s="2" t="str">
        <f aca="false">IF(A21&gt;=10,"yes","no")</f>
        <v>no</v>
      </c>
      <c r="K21" s="2" t="str">
        <f aca="false">IF(A21&gt;=12,"yes",IF(A21&gt;=10,"Predator Hunt only","no"))</f>
        <v>no</v>
      </c>
      <c r="L21" s="2" t="n">
        <f aca="false">100*A21</f>
        <v>300</v>
      </c>
    </row>
    <row r="22" customFormat="false" ht="15" hidden="false" customHeight="false" outlineLevel="0" collapsed="false">
      <c r="A22" s="2" t="n">
        <v>4</v>
      </c>
      <c r="B22" s="2" t="n">
        <f aca="false">ROUND($B$2*$B$3^(A22-1),0)</f>
        <v>18</v>
      </c>
      <c r="C22" s="2" t="n">
        <f aca="false">ROUND($B$4^(A22-1),3)</f>
        <v>1.26</v>
      </c>
      <c r="D22" s="2" t="n">
        <f aca="false">ROUND($B$5^(A22-1),3)</f>
        <v>1.331</v>
      </c>
      <c r="E22" s="2" t="n">
        <f aca="false">ROUND($B$6^(A22-1),3)</f>
        <v>1.158</v>
      </c>
      <c r="F22" s="2" t="n">
        <f aca="false">ROUND($B$7/(1+$B$8*A22),1)</f>
        <v>71.4</v>
      </c>
      <c r="G22" s="2" t="n">
        <f aca="false">IF(A22&lt;4,0,MIN($B$11,$B$9+$B$10*A22))</f>
        <v>0.22</v>
      </c>
      <c r="H22" s="2" t="n">
        <f aca="false">IF(A22&lt;10,$B$12,IF(A22&lt;20,$B$13,$B$14))</f>
        <v>0.02</v>
      </c>
      <c r="I22" s="2" t="str">
        <f aca="false">IF(A22&lt;5,"none",IF(MOD(A22,5)=0,IF(A22&gt;=10,"Faction or Predator","Faction"),"none"))</f>
        <v>none</v>
      </c>
      <c r="J22" s="2" t="str">
        <f aca="false">IF(A22&gt;=10,"yes","no")</f>
        <v>no</v>
      </c>
      <c r="K22" s="2" t="str">
        <f aca="false">IF(A22&gt;=12,"yes",IF(A22&gt;=10,"Predator Hunt only","no"))</f>
        <v>no</v>
      </c>
      <c r="L22" s="2" t="n">
        <f aca="false">100*A22</f>
        <v>400</v>
      </c>
    </row>
    <row r="23" customFormat="false" ht="15" hidden="false" customHeight="false" outlineLevel="0" collapsed="false">
      <c r="A23" s="2" t="n">
        <v>5</v>
      </c>
      <c r="B23" s="2" t="n">
        <f aca="false">ROUND($B$2*$B$3^(A23-1),0)</f>
        <v>21</v>
      </c>
      <c r="C23" s="2" t="n">
        <f aca="false">ROUND($B$4^(A23-1),3)</f>
        <v>1.36</v>
      </c>
      <c r="D23" s="2" t="n">
        <f aca="false">ROUND($B$5^(A23-1),3)</f>
        <v>1.464</v>
      </c>
      <c r="E23" s="2" t="n">
        <f aca="false">ROUND($B$6^(A23-1),3)</f>
        <v>1.216</v>
      </c>
      <c r="F23" s="2" t="n">
        <f aca="false">ROUND($B$7/(1+$B$8*A23),1)</f>
        <v>66.7</v>
      </c>
      <c r="G23" s="2" t="n">
        <f aca="false">IF(A23&lt;4,0,MIN($B$11,$B$9+$B$10*A23))</f>
        <v>0.25</v>
      </c>
      <c r="H23" s="2" t="n">
        <f aca="false">IF(A23&lt;10,$B$12,IF(A23&lt;20,$B$13,$B$14))</f>
        <v>0.02</v>
      </c>
      <c r="I23" s="2" t="str">
        <f aca="false">IF(A23&lt;5,"none",IF(MOD(A23,5)=0,IF(A23&gt;=10,"Faction or Predator","Faction"),"none"))</f>
        <v>Faction</v>
      </c>
      <c r="J23" s="2" t="str">
        <f aca="false">IF(A23&gt;=10,"yes","no")</f>
        <v>no</v>
      </c>
      <c r="K23" s="2" t="str">
        <f aca="false">IF(A23&gt;=12,"yes",IF(A23&gt;=10,"Predator Hunt only","no"))</f>
        <v>no</v>
      </c>
      <c r="L23" s="2" t="n">
        <f aca="false">100*A23</f>
        <v>500</v>
      </c>
    </row>
    <row r="24" customFormat="false" ht="15" hidden="false" customHeight="false" outlineLevel="0" collapsed="false">
      <c r="A24" s="2" t="n">
        <v>6</v>
      </c>
      <c r="B24" s="2" t="n">
        <f aca="false">ROUND($B$2*$B$3^(A24-1),0)</f>
        <v>24</v>
      </c>
      <c r="C24" s="2" t="n">
        <f aca="false">ROUND($B$4^(A24-1),3)</f>
        <v>1.469</v>
      </c>
      <c r="D24" s="2" t="n">
        <f aca="false">ROUND($B$5^(A24-1),3)</f>
        <v>1.611</v>
      </c>
      <c r="E24" s="2" t="n">
        <f aca="false">ROUND($B$6^(A24-1),3)</f>
        <v>1.276</v>
      </c>
      <c r="F24" s="2" t="n">
        <f aca="false">ROUND($B$7/(1+$B$8*A24),1)</f>
        <v>62.5</v>
      </c>
      <c r="G24" s="2" t="n">
        <f aca="false">IF(A24&lt;4,0,MIN($B$11,$B$9+$B$10*A24))</f>
        <v>0.28</v>
      </c>
      <c r="H24" s="2" t="n">
        <f aca="false">IF(A24&lt;10,$B$12,IF(A24&lt;20,$B$13,$B$14))</f>
        <v>0.02</v>
      </c>
      <c r="I24" s="2" t="str">
        <f aca="false">IF(A24&lt;5,"none",IF(MOD(A24,5)=0,IF(A24&gt;=10,"Faction or Predator","Faction"),"none"))</f>
        <v>none</v>
      </c>
      <c r="J24" s="2" t="str">
        <f aca="false">IF(A24&gt;=10,"yes","no")</f>
        <v>no</v>
      </c>
      <c r="K24" s="2" t="str">
        <f aca="false">IF(A24&gt;=12,"yes",IF(A24&gt;=10,"Predator Hunt only","no"))</f>
        <v>no</v>
      </c>
      <c r="L24" s="2" t="n">
        <f aca="false">100*A24</f>
        <v>600</v>
      </c>
    </row>
    <row r="25" customFormat="false" ht="15" hidden="false" customHeight="false" outlineLevel="0" collapsed="false">
      <c r="A25" s="2" t="n">
        <v>7</v>
      </c>
      <c r="B25" s="2" t="n">
        <f aca="false">ROUND($B$2*$B$3^(A25-1),0)</f>
        <v>28</v>
      </c>
      <c r="C25" s="2" t="n">
        <f aca="false">ROUND($B$4^(A25-1),3)</f>
        <v>1.587</v>
      </c>
      <c r="D25" s="2" t="n">
        <f aca="false">ROUND($B$5^(A25-1),3)</f>
        <v>1.772</v>
      </c>
      <c r="E25" s="2" t="n">
        <f aca="false">ROUND($B$6^(A25-1),3)</f>
        <v>1.34</v>
      </c>
      <c r="F25" s="2" t="n">
        <f aca="false">ROUND($B$7/(1+$B$8*A25),1)</f>
        <v>58.8</v>
      </c>
      <c r="G25" s="2" t="n">
        <f aca="false">IF(A25&lt;4,0,MIN($B$11,$B$9+$B$10*A25))</f>
        <v>0.31</v>
      </c>
      <c r="H25" s="2" t="n">
        <f aca="false">IF(A25&lt;10,$B$12,IF(A25&lt;20,$B$13,$B$14))</f>
        <v>0.02</v>
      </c>
      <c r="I25" s="2" t="str">
        <f aca="false">IF(A25&lt;5,"none",IF(MOD(A25,5)=0,IF(A25&gt;=10,"Faction or Predator","Faction"),"none"))</f>
        <v>none</v>
      </c>
      <c r="J25" s="2" t="str">
        <f aca="false">IF(A25&gt;=10,"yes","no")</f>
        <v>no</v>
      </c>
      <c r="K25" s="2" t="str">
        <f aca="false">IF(A25&gt;=12,"yes",IF(A25&gt;=10,"Predator Hunt only","no"))</f>
        <v>no</v>
      </c>
      <c r="L25" s="2" t="n">
        <f aca="false">100*A25</f>
        <v>700</v>
      </c>
    </row>
    <row r="26" customFormat="false" ht="15" hidden="false" customHeight="false" outlineLevel="0" collapsed="false">
      <c r="A26" s="2" t="n">
        <v>8</v>
      </c>
      <c r="B26" s="2" t="n">
        <f aca="false">ROUND($B$2*$B$3^(A26-1),0)</f>
        <v>32</v>
      </c>
      <c r="C26" s="2" t="n">
        <f aca="false">ROUND($B$4^(A26-1),3)</f>
        <v>1.714</v>
      </c>
      <c r="D26" s="2" t="n">
        <f aca="false">ROUND($B$5^(A26-1),3)</f>
        <v>1.949</v>
      </c>
      <c r="E26" s="2" t="n">
        <f aca="false">ROUND($B$6^(A26-1),3)</f>
        <v>1.407</v>
      </c>
      <c r="F26" s="2" t="n">
        <f aca="false">ROUND($B$7/(1+$B$8*A26),1)</f>
        <v>55.6</v>
      </c>
      <c r="G26" s="2" t="n">
        <f aca="false">IF(A26&lt;4,0,MIN($B$11,$B$9+$B$10*A26))</f>
        <v>0.34</v>
      </c>
      <c r="H26" s="2" t="n">
        <f aca="false">IF(A26&lt;10,$B$12,IF(A26&lt;20,$B$13,$B$14))</f>
        <v>0.02</v>
      </c>
      <c r="I26" s="2" t="str">
        <f aca="false">IF(A26&lt;5,"none",IF(MOD(A26,5)=0,IF(A26&gt;=10,"Faction or Predator","Faction"),"none"))</f>
        <v>none</v>
      </c>
      <c r="J26" s="2" t="str">
        <f aca="false">IF(A26&gt;=10,"yes","no")</f>
        <v>no</v>
      </c>
      <c r="K26" s="2" t="str">
        <f aca="false">IF(A26&gt;=12,"yes",IF(A26&gt;=10,"Predator Hunt only","no"))</f>
        <v>no</v>
      </c>
      <c r="L26" s="2" t="n">
        <f aca="false">100*A26</f>
        <v>800</v>
      </c>
    </row>
    <row r="27" customFormat="false" ht="15" hidden="false" customHeight="false" outlineLevel="0" collapsed="false">
      <c r="A27" s="2" t="n">
        <v>9</v>
      </c>
      <c r="B27" s="2" t="n">
        <f aca="false">ROUND($B$2*$B$3^(A27-1),0)</f>
        <v>37</v>
      </c>
      <c r="C27" s="2" t="n">
        <f aca="false">ROUND($B$4^(A27-1),3)</f>
        <v>1.851</v>
      </c>
      <c r="D27" s="2" t="n">
        <f aca="false">ROUND($B$5^(A27-1),3)</f>
        <v>2.144</v>
      </c>
      <c r="E27" s="2" t="n">
        <f aca="false">ROUND($B$6^(A27-1),3)</f>
        <v>1.477</v>
      </c>
      <c r="F27" s="2" t="n">
        <f aca="false">ROUND($B$7/(1+$B$8*A27),1)</f>
        <v>52.6</v>
      </c>
      <c r="G27" s="2" t="n">
        <f aca="false">IF(A27&lt;4,0,MIN($B$11,$B$9+$B$10*A27))</f>
        <v>0.37</v>
      </c>
      <c r="H27" s="2" t="n">
        <f aca="false">IF(A27&lt;10,$B$12,IF(A27&lt;20,$B$13,$B$14))</f>
        <v>0.02</v>
      </c>
      <c r="I27" s="2" t="str">
        <f aca="false">IF(A27&lt;5,"none",IF(MOD(A27,5)=0,IF(A27&gt;=10,"Faction or Predator","Faction"),"none"))</f>
        <v>none</v>
      </c>
      <c r="J27" s="2" t="str">
        <f aca="false">IF(A27&gt;=10,"yes","no")</f>
        <v>no</v>
      </c>
      <c r="K27" s="2" t="str">
        <f aca="false">IF(A27&gt;=12,"yes",IF(A27&gt;=10,"Predator Hunt only","no"))</f>
        <v>no</v>
      </c>
      <c r="L27" s="2" t="n">
        <f aca="false">100*A27</f>
        <v>900</v>
      </c>
    </row>
    <row r="28" customFormat="false" ht="15" hidden="false" customHeight="false" outlineLevel="0" collapsed="false">
      <c r="A28" s="2" t="n">
        <v>10</v>
      </c>
      <c r="B28" s="2" t="n">
        <f aca="false">ROUND($B$2*$B$3^(A28-1),0)</f>
        <v>42</v>
      </c>
      <c r="C28" s="2" t="n">
        <f aca="false">ROUND($B$4^(A28-1),3)</f>
        <v>1.999</v>
      </c>
      <c r="D28" s="2" t="n">
        <f aca="false">ROUND($B$5^(A28-1),3)</f>
        <v>2.358</v>
      </c>
      <c r="E28" s="2" t="n">
        <f aca="false">ROUND($B$6^(A28-1),3)</f>
        <v>1.551</v>
      </c>
      <c r="F28" s="2" t="n">
        <f aca="false">ROUND($B$7/(1+$B$8*A28),1)</f>
        <v>50</v>
      </c>
      <c r="G28" s="2" t="n">
        <f aca="false">IF(A28&lt;4,0,MIN($B$11,$B$9+$B$10*A28))</f>
        <v>0.4</v>
      </c>
      <c r="H28" s="2" t="n">
        <f aca="false">IF(A28&lt;10,$B$12,IF(A28&lt;20,$B$13,$B$14))</f>
        <v>0.01</v>
      </c>
      <c r="I28" s="2" t="str">
        <f aca="false">IF(A28&lt;5,"none",IF(MOD(A28,5)=0,IF(A28&gt;=10,"Faction or Predator","Faction"),"none"))</f>
        <v>Faction or Predator</v>
      </c>
      <c r="J28" s="2" t="str">
        <f aca="false">IF(A28&gt;=10,"yes","no")</f>
        <v>yes</v>
      </c>
      <c r="K28" s="2" t="str">
        <f aca="false">IF(A28&gt;=12,"yes",IF(A28&gt;=10,"Predator Hunt only","no"))</f>
        <v>Predator Hunt only</v>
      </c>
      <c r="L28" s="2" t="n">
        <f aca="false">100*A28</f>
        <v>1000</v>
      </c>
    </row>
    <row r="29" customFormat="false" ht="15" hidden="false" customHeight="false" outlineLevel="0" collapsed="false">
      <c r="A29" s="2" t="n">
        <v>11</v>
      </c>
      <c r="B29" s="2" t="n">
        <f aca="false">ROUND($B$2*$B$3^(A29-1),0)</f>
        <v>49</v>
      </c>
      <c r="C29" s="2" t="n">
        <f aca="false">ROUND($B$4^(A29-1),3)</f>
        <v>2.159</v>
      </c>
      <c r="D29" s="2" t="n">
        <f aca="false">ROUND($B$5^(A29-1),3)</f>
        <v>2.594</v>
      </c>
      <c r="E29" s="2" t="n">
        <f aca="false">ROUND($B$6^(A29-1),3)</f>
        <v>1.629</v>
      </c>
      <c r="F29" s="2" t="n">
        <f aca="false">ROUND($B$7/(1+$B$8*A29),1)</f>
        <v>47.6</v>
      </c>
      <c r="G29" s="2" t="n">
        <f aca="false">IF(A29&lt;4,0,MIN($B$11,$B$9+$B$10*A29))</f>
        <v>0.43</v>
      </c>
      <c r="H29" s="2" t="n">
        <f aca="false">IF(A29&lt;10,$B$12,IF(A29&lt;20,$B$13,$B$14))</f>
        <v>0.01</v>
      </c>
      <c r="I29" s="2" t="str">
        <f aca="false">IF(A29&lt;5,"none",IF(MOD(A29,5)=0,IF(A29&gt;=10,"Faction or Predator","Faction"),"none"))</f>
        <v>none</v>
      </c>
      <c r="J29" s="2" t="str">
        <f aca="false">IF(A29&gt;=10,"yes","no")</f>
        <v>yes</v>
      </c>
      <c r="K29" s="2" t="str">
        <f aca="false">IF(A29&gt;=12,"yes",IF(A29&gt;=10,"Predator Hunt only","no"))</f>
        <v>Predator Hunt only</v>
      </c>
      <c r="L29" s="2" t="n">
        <f aca="false">100*A29</f>
        <v>1100</v>
      </c>
    </row>
    <row r="30" customFormat="false" ht="15" hidden="false" customHeight="false" outlineLevel="0" collapsed="false">
      <c r="A30" s="2" t="n">
        <v>12</v>
      </c>
      <c r="B30" s="2" t="n">
        <f aca="false">ROUND($B$2*$B$3^(A30-1),0)</f>
        <v>56</v>
      </c>
      <c r="C30" s="2" t="n">
        <f aca="false">ROUND($B$4^(A30-1),3)</f>
        <v>2.332</v>
      </c>
      <c r="D30" s="2" t="n">
        <f aca="false">ROUND($B$5^(A30-1),3)</f>
        <v>2.853</v>
      </c>
      <c r="E30" s="2" t="n">
        <f aca="false">ROUND($B$6^(A30-1),3)</f>
        <v>1.71</v>
      </c>
      <c r="F30" s="2" t="n">
        <f aca="false">ROUND($B$7/(1+$B$8*A30),1)</f>
        <v>45.5</v>
      </c>
      <c r="G30" s="2" t="n">
        <f aca="false">IF(A30&lt;4,0,MIN($B$11,$B$9+$B$10*A30))</f>
        <v>0.46</v>
      </c>
      <c r="H30" s="2" t="n">
        <f aca="false">IF(A30&lt;10,$B$12,IF(A30&lt;20,$B$13,$B$14))</f>
        <v>0.01</v>
      </c>
      <c r="I30" s="2" t="str">
        <f aca="false">IF(A30&lt;5,"none",IF(MOD(A30,5)=0,IF(A30&gt;=10,"Faction or Predator","Faction"),"none"))</f>
        <v>none</v>
      </c>
      <c r="J30" s="2" t="str">
        <f aca="false">IF(A30&gt;=10,"yes","no")</f>
        <v>yes</v>
      </c>
      <c r="K30" s="2" t="str">
        <f aca="false">IF(A30&gt;=12,"yes",IF(A30&gt;=10,"Predator Hunt only","no"))</f>
        <v>yes</v>
      </c>
      <c r="L30" s="2" t="n">
        <f aca="false">100*A30</f>
        <v>1200</v>
      </c>
    </row>
    <row r="31" customFormat="false" ht="15" hidden="false" customHeight="false" outlineLevel="0" collapsed="false">
      <c r="A31" s="2" t="n">
        <v>13</v>
      </c>
      <c r="B31" s="2" t="n">
        <f aca="false">ROUND($B$2*$B$3^(A31-1),0)</f>
        <v>64</v>
      </c>
      <c r="C31" s="2" t="n">
        <f aca="false">ROUND($B$4^(A31-1),3)</f>
        <v>2.518</v>
      </c>
      <c r="D31" s="2" t="n">
        <f aca="false">ROUND($B$5^(A31-1),3)</f>
        <v>3.138</v>
      </c>
      <c r="E31" s="2" t="n">
        <f aca="false">ROUND($B$6^(A31-1),3)</f>
        <v>1.796</v>
      </c>
      <c r="F31" s="2" t="n">
        <f aca="false">ROUND($B$7/(1+$B$8*A31),1)</f>
        <v>43.5</v>
      </c>
      <c r="G31" s="2" t="n">
        <f aca="false">IF(A31&lt;4,0,MIN($B$11,$B$9+$B$10*A31))</f>
        <v>0.49</v>
      </c>
      <c r="H31" s="2" t="n">
        <f aca="false">IF(A31&lt;10,$B$12,IF(A31&lt;20,$B$13,$B$14))</f>
        <v>0.01</v>
      </c>
      <c r="I31" s="2" t="str">
        <f aca="false">IF(A31&lt;5,"none",IF(MOD(A31,5)=0,IF(A31&gt;=10,"Faction or Predator","Faction"),"none"))</f>
        <v>none</v>
      </c>
      <c r="J31" s="2" t="str">
        <f aca="false">IF(A31&gt;=10,"yes","no")</f>
        <v>yes</v>
      </c>
      <c r="K31" s="2" t="str">
        <f aca="false">IF(A31&gt;=12,"yes",IF(A31&gt;=10,"Predator Hunt only","no"))</f>
        <v>yes</v>
      </c>
      <c r="L31" s="2" t="n">
        <f aca="false">100*A31</f>
        <v>1300</v>
      </c>
    </row>
    <row r="32" customFormat="false" ht="15" hidden="false" customHeight="false" outlineLevel="0" collapsed="false">
      <c r="A32" s="2" t="n">
        <v>14</v>
      </c>
      <c r="B32" s="2" t="n">
        <f aca="false">ROUND($B$2*$B$3^(A32-1),0)</f>
        <v>74</v>
      </c>
      <c r="C32" s="2" t="n">
        <f aca="false">ROUND($B$4^(A32-1),3)</f>
        <v>2.72</v>
      </c>
      <c r="D32" s="2" t="n">
        <f aca="false">ROUND($B$5^(A32-1),3)</f>
        <v>3.452</v>
      </c>
      <c r="E32" s="2" t="n">
        <f aca="false">ROUND($B$6^(A32-1),3)</f>
        <v>1.886</v>
      </c>
      <c r="F32" s="2" t="n">
        <f aca="false">ROUND($B$7/(1+$B$8*A32),1)</f>
        <v>41.7</v>
      </c>
      <c r="G32" s="2" t="n">
        <f aca="false">IF(A32&lt;4,0,MIN($B$11,$B$9+$B$10*A32))</f>
        <v>0.52</v>
      </c>
      <c r="H32" s="2" t="n">
        <f aca="false">IF(A32&lt;10,$B$12,IF(A32&lt;20,$B$13,$B$14))</f>
        <v>0.01</v>
      </c>
      <c r="I32" s="2" t="str">
        <f aca="false">IF(A32&lt;5,"none",IF(MOD(A32,5)=0,IF(A32&gt;=10,"Faction or Predator","Faction"),"none"))</f>
        <v>none</v>
      </c>
      <c r="J32" s="2" t="str">
        <f aca="false">IF(A32&gt;=10,"yes","no")</f>
        <v>yes</v>
      </c>
      <c r="K32" s="2" t="str">
        <f aca="false">IF(A32&gt;=12,"yes",IF(A32&gt;=10,"Predator Hunt only","no"))</f>
        <v>yes</v>
      </c>
      <c r="L32" s="2" t="n">
        <f aca="false">100*A32</f>
        <v>1400</v>
      </c>
    </row>
    <row r="33" customFormat="false" ht="15" hidden="false" customHeight="false" outlineLevel="0" collapsed="false">
      <c r="A33" s="2" t="n">
        <v>15</v>
      </c>
      <c r="B33" s="2" t="n">
        <f aca="false">ROUND($B$2*$B$3^(A33-1),0)</f>
        <v>85</v>
      </c>
      <c r="C33" s="2" t="n">
        <f aca="false">ROUND($B$4^(A33-1),3)</f>
        <v>2.937</v>
      </c>
      <c r="D33" s="2" t="n">
        <f aca="false">ROUND($B$5^(A33-1),3)</f>
        <v>3.797</v>
      </c>
      <c r="E33" s="2" t="n">
        <f aca="false">ROUND($B$6^(A33-1),3)</f>
        <v>1.98</v>
      </c>
      <c r="F33" s="2" t="n">
        <f aca="false">ROUND($B$7/(1+$B$8*A33),1)</f>
        <v>40</v>
      </c>
      <c r="G33" s="2" t="n">
        <f aca="false">IF(A33&lt;4,0,MIN($B$11,$B$9+$B$10*A33))</f>
        <v>0.55</v>
      </c>
      <c r="H33" s="2" t="n">
        <f aca="false">IF(A33&lt;10,$B$12,IF(A33&lt;20,$B$13,$B$14))</f>
        <v>0.01</v>
      </c>
      <c r="I33" s="2" t="str">
        <f aca="false">IF(A33&lt;5,"none",IF(MOD(A33,5)=0,IF(A33&gt;=10,"Faction or Predator","Faction"),"none"))</f>
        <v>Faction or Predator</v>
      </c>
      <c r="J33" s="2" t="str">
        <f aca="false">IF(A33&gt;=10,"yes","no")</f>
        <v>yes</v>
      </c>
      <c r="K33" s="2" t="str">
        <f aca="false">IF(A33&gt;=12,"yes",IF(A33&gt;=10,"Predator Hunt only","no"))</f>
        <v>yes</v>
      </c>
      <c r="L33" s="2" t="n">
        <f aca="false">100*A33</f>
        <v>1500</v>
      </c>
    </row>
    <row r="34" customFormat="false" ht="15" hidden="false" customHeight="false" outlineLevel="0" collapsed="false">
      <c r="A34" s="2" t="n">
        <v>16</v>
      </c>
      <c r="B34" s="2" t="n">
        <f aca="false">ROUND($B$2*$B$3^(A34-1),0)</f>
        <v>98</v>
      </c>
      <c r="C34" s="2" t="n">
        <f aca="false">ROUND($B$4^(A34-1),3)</f>
        <v>3.172</v>
      </c>
      <c r="D34" s="2" t="n">
        <f aca="false">ROUND($B$5^(A34-1),3)</f>
        <v>4.177</v>
      </c>
      <c r="E34" s="2" t="n">
        <f aca="false">ROUND($B$6^(A34-1),3)</f>
        <v>2.079</v>
      </c>
      <c r="F34" s="2" t="n">
        <f aca="false">ROUND($B$7/(1+$B$8*A34),1)</f>
        <v>38.5</v>
      </c>
      <c r="G34" s="2" t="n">
        <f aca="false">IF(A34&lt;4,0,MIN($B$11,$B$9+$B$10*A34))</f>
        <v>0.58</v>
      </c>
      <c r="H34" s="2" t="n">
        <f aca="false">IF(A34&lt;10,$B$12,IF(A34&lt;20,$B$13,$B$14))</f>
        <v>0.01</v>
      </c>
      <c r="I34" s="2" t="str">
        <f aca="false">IF(A34&lt;5,"none",IF(MOD(A34,5)=0,IF(A34&gt;=10,"Faction or Predator","Faction"),"none"))</f>
        <v>none</v>
      </c>
      <c r="J34" s="2" t="str">
        <f aca="false">IF(A34&gt;=10,"yes","no")</f>
        <v>yes</v>
      </c>
      <c r="K34" s="2" t="str">
        <f aca="false">IF(A34&gt;=12,"yes",IF(A34&gt;=10,"Predator Hunt only","no"))</f>
        <v>yes</v>
      </c>
      <c r="L34" s="2" t="n">
        <f aca="false">100*A34</f>
        <v>1600</v>
      </c>
    </row>
    <row r="35" customFormat="false" ht="15" hidden="false" customHeight="false" outlineLevel="0" collapsed="false">
      <c r="A35" s="2" t="n">
        <v>17</v>
      </c>
      <c r="B35" s="2" t="n">
        <f aca="false">ROUND($B$2*$B$3^(A35-1),0)</f>
        <v>112</v>
      </c>
      <c r="C35" s="2" t="n">
        <f aca="false">ROUND($B$4^(A35-1),3)</f>
        <v>3.426</v>
      </c>
      <c r="D35" s="2" t="n">
        <f aca="false">ROUND($B$5^(A35-1),3)</f>
        <v>4.595</v>
      </c>
      <c r="E35" s="2" t="n">
        <f aca="false">ROUND($B$6^(A35-1),3)</f>
        <v>2.183</v>
      </c>
      <c r="F35" s="2" t="n">
        <f aca="false">ROUND($B$7/(1+$B$8*A35),1)</f>
        <v>37</v>
      </c>
      <c r="G35" s="2" t="n">
        <f aca="false">IF(A35&lt;4,0,MIN($B$11,$B$9+$B$10*A35))</f>
        <v>0.61</v>
      </c>
      <c r="H35" s="2" t="n">
        <f aca="false">IF(A35&lt;10,$B$12,IF(A35&lt;20,$B$13,$B$14))</f>
        <v>0.01</v>
      </c>
      <c r="I35" s="2" t="str">
        <f aca="false">IF(A35&lt;5,"none",IF(MOD(A35,5)=0,IF(A35&gt;=10,"Faction or Predator","Faction"),"none"))</f>
        <v>none</v>
      </c>
      <c r="J35" s="2" t="str">
        <f aca="false">IF(A35&gt;=10,"yes","no")</f>
        <v>yes</v>
      </c>
      <c r="K35" s="2" t="str">
        <f aca="false">IF(A35&gt;=12,"yes",IF(A35&gt;=10,"Predator Hunt only","no"))</f>
        <v>yes</v>
      </c>
      <c r="L35" s="2" t="n">
        <f aca="false">100*A35</f>
        <v>1700</v>
      </c>
    </row>
    <row r="36" customFormat="false" ht="15" hidden="false" customHeight="false" outlineLevel="0" collapsed="false">
      <c r="A36" s="2" t="n">
        <v>18</v>
      </c>
      <c r="B36" s="2" t="n">
        <f aca="false">ROUND($B$2*$B$3^(A36-1),0)</f>
        <v>129</v>
      </c>
      <c r="C36" s="2" t="n">
        <f aca="false">ROUND($B$4^(A36-1),3)</f>
        <v>3.7</v>
      </c>
      <c r="D36" s="2" t="n">
        <f aca="false">ROUND($B$5^(A36-1),3)</f>
        <v>5.054</v>
      </c>
      <c r="E36" s="2" t="n">
        <f aca="false">ROUND($B$6^(A36-1),3)</f>
        <v>2.292</v>
      </c>
      <c r="F36" s="2" t="n">
        <f aca="false">ROUND($B$7/(1+$B$8*A36),1)</f>
        <v>35.7</v>
      </c>
      <c r="G36" s="2" t="n">
        <f aca="false">IF(A36&lt;4,0,MIN($B$11,$B$9+$B$10*A36))</f>
        <v>0.64</v>
      </c>
      <c r="H36" s="2" t="n">
        <f aca="false">IF(A36&lt;10,$B$12,IF(A36&lt;20,$B$13,$B$14))</f>
        <v>0.01</v>
      </c>
      <c r="I36" s="2" t="str">
        <f aca="false">IF(A36&lt;5,"none",IF(MOD(A36,5)=0,IF(A36&gt;=10,"Faction or Predator","Faction"),"none"))</f>
        <v>none</v>
      </c>
      <c r="J36" s="2" t="str">
        <f aca="false">IF(A36&gt;=10,"yes","no")</f>
        <v>yes</v>
      </c>
      <c r="K36" s="2" t="str">
        <f aca="false">IF(A36&gt;=12,"yes",IF(A36&gt;=10,"Predator Hunt only","no"))</f>
        <v>yes</v>
      </c>
      <c r="L36" s="2" t="n">
        <f aca="false">100*A36</f>
        <v>1800</v>
      </c>
    </row>
    <row r="37" customFormat="false" ht="15" hidden="false" customHeight="false" outlineLevel="0" collapsed="false">
      <c r="A37" s="2" t="n">
        <v>19</v>
      </c>
      <c r="B37" s="2" t="n">
        <f aca="false">ROUND($B$2*$B$3^(A37-1),0)</f>
        <v>149</v>
      </c>
      <c r="C37" s="2" t="n">
        <f aca="false">ROUND($B$4^(A37-1),3)</f>
        <v>3.996</v>
      </c>
      <c r="D37" s="2" t="n">
        <f aca="false">ROUND($B$5^(A37-1),3)</f>
        <v>5.56</v>
      </c>
      <c r="E37" s="2" t="n">
        <f aca="false">ROUND($B$6^(A37-1),3)</f>
        <v>2.407</v>
      </c>
      <c r="F37" s="2" t="n">
        <f aca="false">ROUND($B$7/(1+$B$8*A37),1)</f>
        <v>34.5</v>
      </c>
      <c r="G37" s="2" t="n">
        <f aca="false">IF(A37&lt;4,0,MIN($B$11,$B$9+$B$10*A37))</f>
        <v>0.67</v>
      </c>
      <c r="H37" s="2" t="n">
        <f aca="false">IF(A37&lt;10,$B$12,IF(A37&lt;20,$B$13,$B$14))</f>
        <v>0.01</v>
      </c>
      <c r="I37" s="2" t="str">
        <f aca="false">IF(A37&lt;5,"none",IF(MOD(A37,5)=0,IF(A37&gt;=10,"Faction or Predator","Faction"),"none"))</f>
        <v>none</v>
      </c>
      <c r="J37" s="2" t="str">
        <f aca="false">IF(A37&gt;=10,"yes","no")</f>
        <v>yes</v>
      </c>
      <c r="K37" s="2" t="str">
        <f aca="false">IF(A37&gt;=12,"yes",IF(A37&gt;=10,"Predator Hunt only","no"))</f>
        <v>yes</v>
      </c>
      <c r="L37" s="2" t="n">
        <f aca="false">100*A37</f>
        <v>1900</v>
      </c>
    </row>
    <row r="38" customFormat="false" ht="15" hidden="false" customHeight="false" outlineLevel="0" collapsed="false">
      <c r="A38" s="2" t="n">
        <v>20</v>
      </c>
      <c r="B38" s="2" t="n">
        <f aca="false">ROUND($B$2*$B$3^(A38-1),0)</f>
        <v>171</v>
      </c>
      <c r="C38" s="2" t="n">
        <f aca="false">ROUND($B$4^(A38-1),3)</f>
        <v>4.316</v>
      </c>
      <c r="D38" s="2" t="n">
        <f aca="false">ROUND($B$5^(A38-1),3)</f>
        <v>6.116</v>
      </c>
      <c r="E38" s="2" t="n">
        <f aca="false">ROUND($B$6^(A38-1),3)</f>
        <v>2.527</v>
      </c>
      <c r="F38" s="2" t="n">
        <f aca="false">ROUND($B$7/(1+$B$8*A38),1)</f>
        <v>33.3</v>
      </c>
      <c r="G38" s="2" t="n">
        <f aca="false">IF(A38&lt;4,0,MIN($B$11,$B$9+$B$10*A38))</f>
        <v>0.7</v>
      </c>
      <c r="H38" s="2" t="n">
        <f aca="false">IF(A38&lt;10,$B$12,IF(A38&lt;20,$B$13,$B$14))</f>
        <v>0.005</v>
      </c>
      <c r="I38" s="2" t="str">
        <f aca="false">IF(A38&lt;5,"none",IF(MOD(A38,5)=0,IF(A38&gt;=10,"Faction or Predator","Faction"),"none"))</f>
        <v>Faction or Predator</v>
      </c>
      <c r="J38" s="2" t="str">
        <f aca="false">IF(A38&gt;=10,"yes","no")</f>
        <v>yes</v>
      </c>
      <c r="K38" s="2" t="str">
        <f aca="false">IF(A38&gt;=12,"yes",IF(A38&gt;=10,"Predator Hunt only","no"))</f>
        <v>yes</v>
      </c>
      <c r="L38" s="2" t="n">
        <f aca="false">100*A38</f>
        <v>2000</v>
      </c>
    </row>
    <row r="39" customFormat="false" ht="15" hidden="false" customHeight="false" outlineLevel="0" collapsed="false">
      <c r="A39" s="2" t="n">
        <v>21</v>
      </c>
      <c r="B39" s="2" t="n">
        <f aca="false">ROUND($B$2*$B$3^(A39-1),0)</f>
        <v>196</v>
      </c>
      <c r="C39" s="2" t="n">
        <f aca="false">ROUND($B$4^(A39-1),3)</f>
        <v>4.661</v>
      </c>
      <c r="D39" s="2" t="n">
        <f aca="false">ROUND($B$5^(A39-1),3)</f>
        <v>6.727</v>
      </c>
      <c r="E39" s="2" t="n">
        <f aca="false">ROUND($B$6^(A39-1),3)</f>
        <v>2.653</v>
      </c>
      <c r="F39" s="2" t="n">
        <f aca="false">ROUND($B$7/(1+$B$8*A39),1)</f>
        <v>32.3</v>
      </c>
      <c r="G39" s="2" t="n">
        <f aca="false">IF(A39&lt;4,0,MIN($B$11,$B$9+$B$10*A39))</f>
        <v>0.7</v>
      </c>
      <c r="H39" s="2" t="n">
        <f aca="false">IF(A39&lt;10,$B$12,IF(A39&lt;20,$B$13,$B$14))</f>
        <v>0.005</v>
      </c>
      <c r="I39" s="2" t="str">
        <f aca="false">IF(A39&lt;5,"none",IF(MOD(A39,5)=0,IF(A39&gt;=10,"Faction or Predator","Faction"),"none"))</f>
        <v>none</v>
      </c>
      <c r="J39" s="2" t="str">
        <f aca="false">IF(A39&gt;=10,"yes","no")</f>
        <v>yes</v>
      </c>
      <c r="K39" s="2" t="str">
        <f aca="false">IF(A39&gt;=12,"yes",IF(A39&gt;=10,"Predator Hunt only","no"))</f>
        <v>yes</v>
      </c>
      <c r="L39" s="2" t="n">
        <f aca="false">100*A39</f>
        <v>2100</v>
      </c>
    </row>
    <row r="40" customFormat="false" ht="15" hidden="false" customHeight="false" outlineLevel="0" collapsed="false">
      <c r="A40" s="2" t="n">
        <v>22</v>
      </c>
      <c r="B40" s="2" t="n">
        <f aca="false">ROUND($B$2*$B$3^(A40-1),0)</f>
        <v>226</v>
      </c>
      <c r="C40" s="2" t="n">
        <f aca="false">ROUND($B$4^(A40-1),3)</f>
        <v>5.034</v>
      </c>
      <c r="D40" s="2" t="n">
        <f aca="false">ROUND($B$5^(A40-1),3)</f>
        <v>7.4</v>
      </c>
      <c r="E40" s="2" t="n">
        <f aca="false">ROUND($B$6^(A40-1),3)</f>
        <v>2.786</v>
      </c>
      <c r="F40" s="2" t="n">
        <f aca="false">ROUND($B$7/(1+$B$8*A40),1)</f>
        <v>31.3</v>
      </c>
      <c r="G40" s="2" t="n">
        <f aca="false">IF(A40&lt;4,0,MIN($B$11,$B$9+$B$10*A40))</f>
        <v>0.7</v>
      </c>
      <c r="H40" s="2" t="n">
        <f aca="false">IF(A40&lt;10,$B$12,IF(A40&lt;20,$B$13,$B$14))</f>
        <v>0.005</v>
      </c>
      <c r="I40" s="2" t="str">
        <f aca="false">IF(A40&lt;5,"none",IF(MOD(A40,5)=0,IF(A40&gt;=10,"Faction or Predator","Faction"),"none"))</f>
        <v>none</v>
      </c>
      <c r="J40" s="2" t="str">
        <f aca="false">IF(A40&gt;=10,"yes","no")</f>
        <v>yes</v>
      </c>
      <c r="K40" s="2" t="str">
        <f aca="false">IF(A40&gt;=12,"yes",IF(A40&gt;=10,"Predator Hunt only","no"))</f>
        <v>yes</v>
      </c>
      <c r="L40" s="2" t="n">
        <f aca="false">100*A40</f>
        <v>2200</v>
      </c>
    </row>
    <row r="41" customFormat="false" ht="15" hidden="false" customHeight="false" outlineLevel="0" collapsed="false">
      <c r="A41" s="2" t="n">
        <v>23</v>
      </c>
      <c r="B41" s="2" t="n">
        <f aca="false">ROUND($B$2*$B$3^(A41-1),0)</f>
        <v>260</v>
      </c>
      <c r="C41" s="2" t="n">
        <f aca="false">ROUND($B$4^(A41-1),3)</f>
        <v>5.437</v>
      </c>
      <c r="D41" s="2" t="n">
        <f aca="false">ROUND($B$5^(A41-1),3)</f>
        <v>8.14</v>
      </c>
      <c r="E41" s="2" t="n">
        <f aca="false">ROUND($B$6^(A41-1),3)</f>
        <v>2.925</v>
      </c>
      <c r="F41" s="2" t="n">
        <f aca="false">ROUND($B$7/(1+$B$8*A41),1)</f>
        <v>30.3</v>
      </c>
      <c r="G41" s="2" t="n">
        <f aca="false">IF(A41&lt;4,0,MIN($B$11,$B$9+$B$10*A41))</f>
        <v>0.7</v>
      </c>
      <c r="H41" s="2" t="n">
        <f aca="false">IF(A41&lt;10,$B$12,IF(A41&lt;20,$B$13,$B$14))</f>
        <v>0.005</v>
      </c>
      <c r="I41" s="2" t="str">
        <f aca="false">IF(A41&lt;5,"none",IF(MOD(A41,5)=0,IF(A41&gt;=10,"Faction or Predator","Faction"),"none"))</f>
        <v>none</v>
      </c>
      <c r="J41" s="2" t="str">
        <f aca="false">IF(A41&gt;=10,"yes","no")</f>
        <v>yes</v>
      </c>
      <c r="K41" s="2" t="str">
        <f aca="false">IF(A41&gt;=12,"yes",IF(A41&gt;=10,"Predator Hunt only","no"))</f>
        <v>yes</v>
      </c>
      <c r="L41" s="2" t="n">
        <f aca="false">100*A41</f>
        <v>2300</v>
      </c>
    </row>
    <row r="42" customFormat="false" ht="15" hidden="false" customHeight="false" outlineLevel="0" collapsed="false">
      <c r="A42" s="2" t="n">
        <v>24</v>
      </c>
      <c r="B42" s="2" t="n">
        <f aca="false">ROUND($B$2*$B$3^(A42-1),0)</f>
        <v>299</v>
      </c>
      <c r="C42" s="2" t="n">
        <f aca="false">ROUND($B$4^(A42-1),3)</f>
        <v>5.871</v>
      </c>
      <c r="D42" s="2" t="n">
        <f aca="false">ROUND($B$5^(A42-1),3)</f>
        <v>8.954</v>
      </c>
      <c r="E42" s="2" t="n">
        <f aca="false">ROUND($B$6^(A42-1),3)</f>
        <v>3.072</v>
      </c>
      <c r="F42" s="2" t="n">
        <f aca="false">ROUND($B$7/(1+$B$8*A42),1)</f>
        <v>29.4</v>
      </c>
      <c r="G42" s="2" t="n">
        <f aca="false">IF(A42&lt;4,0,MIN($B$11,$B$9+$B$10*A42))</f>
        <v>0.7</v>
      </c>
      <c r="H42" s="2" t="n">
        <f aca="false">IF(A42&lt;10,$B$12,IF(A42&lt;20,$B$13,$B$14))</f>
        <v>0.005</v>
      </c>
      <c r="I42" s="2" t="str">
        <f aca="false">IF(A42&lt;5,"none",IF(MOD(A42,5)=0,IF(A42&gt;=10,"Faction or Predator","Faction"),"none"))</f>
        <v>none</v>
      </c>
      <c r="J42" s="2" t="str">
        <f aca="false">IF(A42&gt;=10,"yes","no")</f>
        <v>yes</v>
      </c>
      <c r="K42" s="2" t="str">
        <f aca="false">IF(A42&gt;=12,"yes",IF(A42&gt;=10,"Predator Hunt only","no"))</f>
        <v>yes</v>
      </c>
      <c r="L42" s="2" t="n">
        <f aca="false">100*A42</f>
        <v>2400</v>
      </c>
    </row>
    <row r="43" customFormat="false" ht="15" hidden="false" customHeight="false" outlineLevel="0" collapsed="false">
      <c r="A43" s="2" t="n">
        <v>25</v>
      </c>
      <c r="B43" s="2" t="n">
        <f aca="false">ROUND($B$2*$B$3^(A43-1),0)</f>
        <v>344</v>
      </c>
      <c r="C43" s="2" t="n">
        <f aca="false">ROUND($B$4^(A43-1),3)</f>
        <v>6.341</v>
      </c>
      <c r="D43" s="2" t="n">
        <f aca="false">ROUND($B$5^(A43-1),3)</f>
        <v>9.85</v>
      </c>
      <c r="E43" s="2" t="n">
        <f aca="false">ROUND($B$6^(A43-1),3)</f>
        <v>3.225</v>
      </c>
      <c r="F43" s="2" t="n">
        <f aca="false">ROUND($B$7/(1+$B$8*A43),1)</f>
        <v>28.6</v>
      </c>
      <c r="G43" s="2" t="n">
        <f aca="false">IF(A43&lt;4,0,MIN($B$11,$B$9+$B$10*A43))</f>
        <v>0.7</v>
      </c>
      <c r="H43" s="2" t="n">
        <f aca="false">IF(A43&lt;10,$B$12,IF(A43&lt;20,$B$13,$B$14))</f>
        <v>0.005</v>
      </c>
      <c r="I43" s="2" t="str">
        <f aca="false">IF(A43&lt;5,"none",IF(MOD(A43,5)=0,IF(A43&gt;=10,"Faction or Predator","Faction"),"none"))</f>
        <v>Faction or Predator</v>
      </c>
      <c r="J43" s="2" t="str">
        <f aca="false">IF(A43&gt;=10,"yes","no")</f>
        <v>yes</v>
      </c>
      <c r="K43" s="2" t="str">
        <f aca="false">IF(A43&gt;=12,"yes",IF(A43&gt;=10,"Predator Hunt only","no"))</f>
        <v>yes</v>
      </c>
      <c r="L43" s="2" t="n">
        <f aca="false">100*A43</f>
        <v>2500</v>
      </c>
    </row>
    <row r="44" customFormat="false" ht="15" hidden="false" customHeight="false" outlineLevel="0" collapsed="false">
      <c r="A44" s="2" t="n">
        <v>26</v>
      </c>
      <c r="B44" s="2" t="n">
        <f aca="false">ROUND($B$2*$B$3^(A44-1),0)</f>
        <v>395</v>
      </c>
      <c r="C44" s="2" t="n">
        <f aca="false">ROUND($B$4^(A44-1),3)</f>
        <v>6.848</v>
      </c>
      <c r="D44" s="2" t="n">
        <f aca="false">ROUND($B$5^(A44-1),3)</f>
        <v>10.835</v>
      </c>
      <c r="E44" s="2" t="n">
        <f aca="false">ROUND($B$6^(A44-1),3)</f>
        <v>3.386</v>
      </c>
      <c r="F44" s="2" t="n">
        <f aca="false">ROUND($B$7/(1+$B$8*A44),1)</f>
        <v>27.8</v>
      </c>
      <c r="G44" s="2" t="n">
        <f aca="false">IF(A44&lt;4,0,MIN($B$11,$B$9+$B$10*A44))</f>
        <v>0.7</v>
      </c>
      <c r="H44" s="2" t="n">
        <f aca="false">IF(A44&lt;10,$B$12,IF(A44&lt;20,$B$13,$B$14))</f>
        <v>0.005</v>
      </c>
      <c r="I44" s="2" t="str">
        <f aca="false">IF(A44&lt;5,"none",IF(MOD(A44,5)=0,IF(A44&gt;=10,"Faction or Predator","Faction"),"none"))</f>
        <v>none</v>
      </c>
      <c r="J44" s="2" t="str">
        <f aca="false">IF(A44&gt;=10,"yes","no")</f>
        <v>yes</v>
      </c>
      <c r="K44" s="2" t="str">
        <f aca="false">IF(A44&gt;=12,"yes",IF(A44&gt;=10,"Predator Hunt only","no"))</f>
        <v>yes</v>
      </c>
      <c r="L44" s="2" t="n">
        <f aca="false">100*A44</f>
        <v>2600</v>
      </c>
    </row>
    <row r="45" customFormat="false" ht="15" hidden="false" customHeight="false" outlineLevel="0" collapsed="false">
      <c r="A45" s="2" t="n">
        <v>27</v>
      </c>
      <c r="B45" s="2" t="n">
        <f aca="false">ROUND($B$2*$B$3^(A45-1),0)</f>
        <v>454</v>
      </c>
      <c r="C45" s="2" t="n">
        <f aca="false">ROUND($B$4^(A45-1),3)</f>
        <v>7.396</v>
      </c>
      <c r="D45" s="2" t="n">
        <f aca="false">ROUND($B$5^(A45-1),3)</f>
        <v>11.918</v>
      </c>
      <c r="E45" s="2" t="n">
        <f aca="false">ROUND($B$6^(A45-1),3)</f>
        <v>3.556</v>
      </c>
      <c r="F45" s="2" t="n">
        <f aca="false">ROUND($B$7/(1+$B$8*A45),1)</f>
        <v>27</v>
      </c>
      <c r="G45" s="2" t="n">
        <f aca="false">IF(A45&lt;4,0,MIN($B$11,$B$9+$B$10*A45))</f>
        <v>0.7</v>
      </c>
      <c r="H45" s="2" t="n">
        <f aca="false">IF(A45&lt;10,$B$12,IF(A45&lt;20,$B$13,$B$14))</f>
        <v>0.005</v>
      </c>
      <c r="I45" s="2" t="str">
        <f aca="false">IF(A45&lt;5,"none",IF(MOD(A45,5)=0,IF(A45&gt;=10,"Faction or Predator","Faction"),"none"))</f>
        <v>none</v>
      </c>
      <c r="J45" s="2" t="str">
        <f aca="false">IF(A45&gt;=10,"yes","no")</f>
        <v>yes</v>
      </c>
      <c r="K45" s="2" t="str">
        <f aca="false">IF(A45&gt;=12,"yes",IF(A45&gt;=10,"Predator Hunt only","no"))</f>
        <v>yes</v>
      </c>
      <c r="L45" s="2" t="n">
        <f aca="false">100*A45</f>
        <v>2700</v>
      </c>
    </row>
    <row r="46" customFormat="false" ht="15" hidden="false" customHeight="false" outlineLevel="0" collapsed="false">
      <c r="A46" s="2" t="n">
        <v>28</v>
      </c>
      <c r="B46" s="2" t="n">
        <f aca="false">ROUND($B$2*$B$3^(A46-1),0)</f>
        <v>522</v>
      </c>
      <c r="C46" s="2" t="n">
        <f aca="false">ROUND($B$4^(A46-1),3)</f>
        <v>7.988</v>
      </c>
      <c r="D46" s="2" t="n">
        <f aca="false">ROUND($B$5^(A46-1),3)</f>
        <v>13.11</v>
      </c>
      <c r="E46" s="2" t="n">
        <f aca="false">ROUND($B$6^(A46-1),3)</f>
        <v>3.733</v>
      </c>
      <c r="F46" s="2" t="n">
        <f aca="false">ROUND($B$7/(1+$B$8*A46),1)</f>
        <v>26.3</v>
      </c>
      <c r="G46" s="2" t="n">
        <f aca="false">IF(A46&lt;4,0,MIN($B$11,$B$9+$B$10*A46))</f>
        <v>0.7</v>
      </c>
      <c r="H46" s="2" t="n">
        <f aca="false">IF(A46&lt;10,$B$12,IF(A46&lt;20,$B$13,$B$14))</f>
        <v>0.005</v>
      </c>
      <c r="I46" s="2" t="str">
        <f aca="false">IF(A46&lt;5,"none",IF(MOD(A46,5)=0,IF(A46&gt;=10,"Faction or Predator","Faction"),"none"))</f>
        <v>none</v>
      </c>
      <c r="J46" s="2" t="str">
        <f aca="false">IF(A46&gt;=10,"yes","no")</f>
        <v>yes</v>
      </c>
      <c r="K46" s="2" t="str">
        <f aca="false">IF(A46&gt;=12,"yes",IF(A46&gt;=10,"Predator Hunt only","no"))</f>
        <v>yes</v>
      </c>
      <c r="L46" s="2" t="n">
        <f aca="false">100*A46</f>
        <v>2800</v>
      </c>
    </row>
    <row r="47" customFormat="false" ht="15" hidden="false" customHeight="false" outlineLevel="0" collapsed="false">
      <c r="A47" s="2" t="n">
        <v>29</v>
      </c>
      <c r="B47" s="2" t="n">
        <f aca="false">ROUND($B$2*$B$3^(A47-1),0)</f>
        <v>601</v>
      </c>
      <c r="C47" s="2" t="n">
        <f aca="false">ROUND($B$4^(A47-1),3)</f>
        <v>8.627</v>
      </c>
      <c r="D47" s="2" t="n">
        <f aca="false">ROUND($B$5^(A47-1),3)</f>
        <v>14.421</v>
      </c>
      <c r="E47" s="2" t="n">
        <f aca="false">ROUND($B$6^(A47-1),3)</f>
        <v>3.92</v>
      </c>
      <c r="F47" s="2" t="n">
        <f aca="false">ROUND($B$7/(1+$B$8*A47),1)</f>
        <v>25.6</v>
      </c>
      <c r="G47" s="2" t="n">
        <f aca="false">IF(A47&lt;4,0,MIN($B$11,$B$9+$B$10*A47))</f>
        <v>0.7</v>
      </c>
      <c r="H47" s="2" t="n">
        <f aca="false">IF(A47&lt;10,$B$12,IF(A47&lt;20,$B$13,$B$14))</f>
        <v>0.005</v>
      </c>
      <c r="I47" s="2" t="str">
        <f aca="false">IF(A47&lt;5,"none",IF(MOD(A47,5)=0,IF(A47&gt;=10,"Faction or Predator","Faction"),"none"))</f>
        <v>none</v>
      </c>
      <c r="J47" s="2" t="str">
        <f aca="false">IF(A47&gt;=10,"yes","no")</f>
        <v>yes</v>
      </c>
      <c r="K47" s="2" t="str">
        <f aca="false">IF(A47&gt;=12,"yes",IF(A47&gt;=10,"Predator Hunt only","no"))</f>
        <v>yes</v>
      </c>
      <c r="L47" s="2" t="n">
        <f aca="false">100*A47</f>
        <v>2900</v>
      </c>
    </row>
    <row r="48" customFormat="false" ht="15" hidden="false" customHeight="false" outlineLevel="0" collapsed="false">
      <c r="A48" s="2" t="n">
        <v>30</v>
      </c>
      <c r="B48" s="2" t="n">
        <f aca="false">ROUND($B$2*$B$3^(A48-1),0)</f>
        <v>691</v>
      </c>
      <c r="C48" s="2" t="n">
        <f aca="false">ROUND($B$4^(A48-1),3)</f>
        <v>9.317</v>
      </c>
      <c r="D48" s="2" t="n">
        <f aca="false">ROUND($B$5^(A48-1),3)</f>
        <v>15.863</v>
      </c>
      <c r="E48" s="2" t="n">
        <f aca="false">ROUND($B$6^(A48-1),3)</f>
        <v>4.116</v>
      </c>
      <c r="F48" s="2" t="n">
        <f aca="false">ROUND($B$7/(1+$B$8*A48),1)</f>
        <v>25</v>
      </c>
      <c r="G48" s="2" t="n">
        <f aca="false">IF(A48&lt;4,0,MIN($B$11,$B$9+$B$10*A48))</f>
        <v>0.7</v>
      </c>
      <c r="H48" s="2" t="n">
        <f aca="false">IF(A48&lt;10,$B$12,IF(A48&lt;20,$B$13,$B$14))</f>
        <v>0.005</v>
      </c>
      <c r="I48" s="2" t="str">
        <f aca="false">IF(A48&lt;5,"none",IF(MOD(A48,5)=0,IF(A48&gt;=10,"Faction or Predator","Faction"),"none"))</f>
        <v>Faction or Predator</v>
      </c>
      <c r="J48" s="2" t="str">
        <f aca="false">IF(A48&gt;=10,"yes","no")</f>
        <v>yes</v>
      </c>
      <c r="K48" s="2" t="str">
        <f aca="false">IF(A48&gt;=12,"yes",IF(A48&gt;=10,"Predator Hunt only","no"))</f>
        <v>yes</v>
      </c>
      <c r="L48" s="2" t="n">
        <f aca="false">100*A48</f>
        <v>3000</v>
      </c>
    </row>
    <row r="49" customFormat="false" ht="15" hidden="false" customHeight="false" outlineLevel="0" collapsed="false">
      <c r="A49" s="2" t="n">
        <v>31</v>
      </c>
      <c r="B49" s="2" t="n">
        <f aca="false">ROUND($B$2*$B$3^(A49-1),0)</f>
        <v>795</v>
      </c>
      <c r="C49" s="2" t="n">
        <f aca="false">ROUND($B$4^(A49-1),3)</f>
        <v>10.063</v>
      </c>
      <c r="D49" s="2" t="n">
        <f aca="false">ROUND($B$5^(A49-1),3)</f>
        <v>17.449</v>
      </c>
      <c r="E49" s="2" t="n">
        <f aca="false">ROUND($B$6^(A49-1),3)</f>
        <v>4.322</v>
      </c>
      <c r="F49" s="2" t="n">
        <f aca="false">ROUND($B$7/(1+$B$8*A49),1)</f>
        <v>24.4</v>
      </c>
      <c r="G49" s="2" t="n">
        <f aca="false">IF(A49&lt;4,0,MIN($B$11,$B$9+$B$10*A49))</f>
        <v>0.7</v>
      </c>
      <c r="H49" s="2" t="n">
        <f aca="false">IF(A49&lt;10,$B$12,IF(A49&lt;20,$B$13,$B$14))</f>
        <v>0.005</v>
      </c>
      <c r="I49" s="2" t="str">
        <f aca="false">IF(A49&lt;5,"none",IF(MOD(A49,5)=0,IF(A49&gt;=10,"Faction or Predator","Faction"),"none"))</f>
        <v>none</v>
      </c>
      <c r="J49" s="2" t="str">
        <f aca="false">IF(A49&gt;=10,"yes","no")</f>
        <v>yes</v>
      </c>
      <c r="K49" s="2" t="str">
        <f aca="false">IF(A49&gt;=12,"yes",IF(A49&gt;=10,"Predator Hunt only","no"))</f>
        <v>yes</v>
      </c>
      <c r="L49" s="2" t="n">
        <f aca="false">100*A49</f>
        <v>3100</v>
      </c>
    </row>
    <row r="50" customFormat="false" ht="15" hidden="false" customHeight="false" outlineLevel="0" collapsed="false">
      <c r="A50" s="2" t="n">
        <v>32</v>
      </c>
      <c r="B50" s="2" t="n">
        <f aca="false">ROUND($B$2*$B$3^(A50-1),0)</f>
        <v>914</v>
      </c>
      <c r="C50" s="2" t="n">
        <f aca="false">ROUND($B$4^(A50-1),3)</f>
        <v>10.868</v>
      </c>
      <c r="D50" s="2" t="n">
        <f aca="false">ROUND($B$5^(A50-1),3)</f>
        <v>19.194</v>
      </c>
      <c r="E50" s="2" t="n">
        <f aca="false">ROUND($B$6^(A50-1),3)</f>
        <v>4.538</v>
      </c>
      <c r="F50" s="2" t="n">
        <f aca="false">ROUND($B$7/(1+$B$8*A50),1)</f>
        <v>23.8</v>
      </c>
      <c r="G50" s="2" t="n">
        <f aca="false">IF(A50&lt;4,0,MIN($B$11,$B$9+$B$10*A50))</f>
        <v>0.7</v>
      </c>
      <c r="H50" s="2" t="n">
        <f aca="false">IF(A50&lt;10,$B$12,IF(A50&lt;20,$B$13,$B$14))</f>
        <v>0.005</v>
      </c>
      <c r="I50" s="2" t="str">
        <f aca="false">IF(A50&lt;5,"none",IF(MOD(A50,5)=0,IF(A50&gt;=10,"Faction or Predator","Faction"),"none"))</f>
        <v>none</v>
      </c>
      <c r="J50" s="2" t="str">
        <f aca="false">IF(A50&gt;=10,"yes","no")</f>
        <v>yes</v>
      </c>
      <c r="K50" s="2" t="str">
        <f aca="false">IF(A50&gt;=12,"yes",IF(A50&gt;=10,"Predator Hunt only","no"))</f>
        <v>yes</v>
      </c>
      <c r="L50" s="2" t="n">
        <f aca="false">100*A50</f>
        <v>3200</v>
      </c>
    </row>
    <row r="51" customFormat="false" ht="15" hidden="false" customHeight="false" outlineLevel="0" collapsed="false">
      <c r="A51" s="2" t="n">
        <v>33</v>
      </c>
      <c r="B51" s="2" t="n">
        <f aca="false">ROUND($B$2*$B$3^(A51-1),0)</f>
        <v>1051</v>
      </c>
      <c r="C51" s="2" t="n">
        <f aca="false">ROUND($B$4^(A51-1),3)</f>
        <v>11.737</v>
      </c>
      <c r="D51" s="2" t="n">
        <f aca="false">ROUND($B$5^(A51-1),3)</f>
        <v>21.114</v>
      </c>
      <c r="E51" s="2" t="n">
        <f aca="false">ROUND($B$6^(A51-1),3)</f>
        <v>4.765</v>
      </c>
      <c r="F51" s="2" t="n">
        <f aca="false">ROUND($B$7/(1+$B$8*A51),1)</f>
        <v>23.3</v>
      </c>
      <c r="G51" s="2" t="n">
        <f aca="false">IF(A51&lt;4,0,MIN($B$11,$B$9+$B$10*A51))</f>
        <v>0.7</v>
      </c>
      <c r="H51" s="2" t="n">
        <f aca="false">IF(A51&lt;10,$B$12,IF(A51&lt;20,$B$13,$B$14))</f>
        <v>0.005</v>
      </c>
      <c r="I51" s="2" t="str">
        <f aca="false">IF(A51&lt;5,"none",IF(MOD(A51,5)=0,IF(A51&gt;=10,"Faction or Predator","Faction"),"none"))</f>
        <v>none</v>
      </c>
      <c r="J51" s="2" t="str">
        <f aca="false">IF(A51&gt;=10,"yes","no")</f>
        <v>yes</v>
      </c>
      <c r="K51" s="2" t="str">
        <f aca="false">IF(A51&gt;=12,"yes",IF(A51&gt;=10,"Predator Hunt only","no"))</f>
        <v>yes</v>
      </c>
      <c r="L51" s="2" t="n">
        <f aca="false">100*A51</f>
        <v>3300</v>
      </c>
    </row>
    <row r="52" customFormat="false" ht="15" hidden="false" customHeight="false" outlineLevel="0" collapsed="false">
      <c r="A52" s="2" t="n">
        <v>34</v>
      </c>
      <c r="B52" s="2" t="n">
        <f aca="false">ROUND($B$2*$B$3^(A52-1),0)</f>
        <v>1208</v>
      </c>
      <c r="C52" s="2" t="n">
        <f aca="false">ROUND($B$4^(A52-1),3)</f>
        <v>12.676</v>
      </c>
      <c r="D52" s="2" t="n">
        <f aca="false">ROUND($B$5^(A52-1),3)</f>
        <v>23.225</v>
      </c>
      <c r="E52" s="2" t="n">
        <f aca="false">ROUND($B$6^(A52-1),3)</f>
        <v>5.003</v>
      </c>
      <c r="F52" s="2" t="n">
        <f aca="false">ROUND($B$7/(1+$B$8*A52),1)</f>
        <v>22.7</v>
      </c>
      <c r="G52" s="2" t="n">
        <f aca="false">IF(A52&lt;4,0,MIN($B$11,$B$9+$B$10*A52))</f>
        <v>0.7</v>
      </c>
      <c r="H52" s="2" t="n">
        <f aca="false">IF(A52&lt;10,$B$12,IF(A52&lt;20,$B$13,$B$14))</f>
        <v>0.005</v>
      </c>
      <c r="I52" s="2" t="str">
        <f aca="false">IF(A52&lt;5,"none",IF(MOD(A52,5)=0,IF(A52&gt;=10,"Faction or Predator","Faction"),"none"))</f>
        <v>none</v>
      </c>
      <c r="J52" s="2" t="str">
        <f aca="false">IF(A52&gt;=10,"yes","no")</f>
        <v>yes</v>
      </c>
      <c r="K52" s="2" t="str">
        <f aca="false">IF(A52&gt;=12,"yes",IF(A52&gt;=10,"Predator Hunt only","no"))</f>
        <v>yes</v>
      </c>
      <c r="L52" s="2" t="n">
        <f aca="false">100*A52</f>
        <v>3400</v>
      </c>
    </row>
    <row r="53" customFormat="false" ht="15" hidden="false" customHeight="false" outlineLevel="0" collapsed="false">
      <c r="A53" s="2" t="n">
        <v>35</v>
      </c>
      <c r="B53" s="2" t="n">
        <f aca="false">ROUND($B$2*$B$3^(A53-1),0)</f>
        <v>1390</v>
      </c>
      <c r="C53" s="2" t="n">
        <f aca="false">ROUND($B$4^(A53-1),3)</f>
        <v>13.69</v>
      </c>
      <c r="D53" s="2" t="n">
        <f aca="false">ROUND($B$5^(A53-1),3)</f>
        <v>25.548</v>
      </c>
      <c r="E53" s="2" t="n">
        <f aca="false">ROUND($B$6^(A53-1),3)</f>
        <v>5.253</v>
      </c>
      <c r="F53" s="2" t="n">
        <f aca="false">ROUND($B$7/(1+$B$8*A53),1)</f>
        <v>22.2</v>
      </c>
      <c r="G53" s="2" t="n">
        <f aca="false">IF(A53&lt;4,0,MIN($B$11,$B$9+$B$10*A53))</f>
        <v>0.7</v>
      </c>
      <c r="H53" s="2" t="n">
        <f aca="false">IF(A53&lt;10,$B$12,IF(A53&lt;20,$B$13,$B$14))</f>
        <v>0.005</v>
      </c>
      <c r="I53" s="2" t="str">
        <f aca="false">IF(A53&lt;5,"none",IF(MOD(A53,5)=0,IF(A53&gt;=10,"Faction or Predator","Faction"),"none"))</f>
        <v>Faction or Predator</v>
      </c>
      <c r="J53" s="2" t="str">
        <f aca="false">IF(A53&gt;=10,"yes","no")</f>
        <v>yes</v>
      </c>
      <c r="K53" s="2" t="str">
        <f aca="false">IF(A53&gt;=12,"yes",IF(A53&gt;=10,"Predator Hunt only","no"))</f>
        <v>yes</v>
      </c>
      <c r="L53" s="2" t="n">
        <f aca="false">100*A53</f>
        <v>3500</v>
      </c>
    </row>
    <row r="54" customFormat="false" ht="15" hidden="false" customHeight="false" outlineLevel="0" collapsed="false">
      <c r="A54" s="2" t="n">
        <v>36</v>
      </c>
      <c r="B54" s="2" t="n">
        <f aca="false">ROUND($B$2*$B$3^(A54-1),0)</f>
        <v>1598</v>
      </c>
      <c r="C54" s="2" t="n">
        <f aca="false">ROUND($B$4^(A54-1),3)</f>
        <v>14.785</v>
      </c>
      <c r="D54" s="2" t="n">
        <f aca="false">ROUND($B$5^(A54-1),3)</f>
        <v>28.102</v>
      </c>
      <c r="E54" s="2" t="n">
        <f aca="false">ROUND($B$6^(A54-1),3)</f>
        <v>5.516</v>
      </c>
      <c r="F54" s="2" t="n">
        <f aca="false">ROUND($B$7/(1+$B$8*A54),1)</f>
        <v>21.7</v>
      </c>
      <c r="G54" s="2" t="n">
        <f aca="false">IF(A54&lt;4,0,MIN($B$11,$B$9+$B$10*A54))</f>
        <v>0.7</v>
      </c>
      <c r="H54" s="2" t="n">
        <f aca="false">IF(A54&lt;10,$B$12,IF(A54&lt;20,$B$13,$B$14))</f>
        <v>0.005</v>
      </c>
      <c r="I54" s="2" t="str">
        <f aca="false">IF(A54&lt;5,"none",IF(MOD(A54,5)=0,IF(A54&gt;=10,"Faction or Predator","Faction"),"none"))</f>
        <v>none</v>
      </c>
      <c r="J54" s="2" t="str">
        <f aca="false">IF(A54&gt;=10,"yes","no")</f>
        <v>yes</v>
      </c>
      <c r="K54" s="2" t="str">
        <f aca="false">IF(A54&gt;=12,"yes",IF(A54&gt;=10,"Predator Hunt only","no"))</f>
        <v>yes</v>
      </c>
      <c r="L54" s="2" t="n">
        <f aca="false">100*A54</f>
        <v>3600</v>
      </c>
    </row>
    <row r="55" customFormat="false" ht="15" hidden="false" customHeight="false" outlineLevel="0" collapsed="false">
      <c r="A55" s="2" t="n">
        <v>37</v>
      </c>
      <c r="B55" s="2" t="n">
        <f aca="false">ROUND($B$2*$B$3^(A55-1),0)</f>
        <v>1838</v>
      </c>
      <c r="C55" s="2" t="n">
        <f aca="false">ROUND($B$4^(A55-1),3)</f>
        <v>15.968</v>
      </c>
      <c r="D55" s="2" t="n">
        <f aca="false">ROUND($B$5^(A55-1),3)</f>
        <v>30.913</v>
      </c>
      <c r="E55" s="2" t="n">
        <f aca="false">ROUND($B$6^(A55-1),3)</f>
        <v>5.792</v>
      </c>
      <c r="F55" s="2" t="n">
        <f aca="false">ROUND($B$7/(1+$B$8*A55),1)</f>
        <v>21.3</v>
      </c>
      <c r="G55" s="2" t="n">
        <f aca="false">IF(A55&lt;4,0,MIN($B$11,$B$9+$B$10*A55))</f>
        <v>0.7</v>
      </c>
      <c r="H55" s="2" t="n">
        <f aca="false">IF(A55&lt;10,$B$12,IF(A55&lt;20,$B$13,$B$14))</f>
        <v>0.005</v>
      </c>
      <c r="I55" s="2" t="str">
        <f aca="false">IF(A55&lt;5,"none",IF(MOD(A55,5)=0,IF(A55&gt;=10,"Faction or Predator","Faction"),"none"))</f>
        <v>none</v>
      </c>
      <c r="J55" s="2" t="str">
        <f aca="false">IF(A55&gt;=10,"yes","no")</f>
        <v>yes</v>
      </c>
      <c r="K55" s="2" t="str">
        <f aca="false">IF(A55&gt;=12,"yes",IF(A55&gt;=10,"Predator Hunt only","no"))</f>
        <v>yes</v>
      </c>
      <c r="L55" s="2" t="n">
        <f aca="false">100*A55</f>
        <v>3700</v>
      </c>
    </row>
    <row r="56" customFormat="false" ht="15" hidden="false" customHeight="false" outlineLevel="0" collapsed="false">
      <c r="A56" s="2" t="n">
        <v>38</v>
      </c>
      <c r="B56" s="2" t="n">
        <f aca="false">ROUND($B$2*$B$3^(A56-1),0)</f>
        <v>2113</v>
      </c>
      <c r="C56" s="2" t="n">
        <f aca="false">ROUND($B$4^(A56-1),3)</f>
        <v>17.246</v>
      </c>
      <c r="D56" s="2" t="n">
        <f aca="false">ROUND($B$5^(A56-1),3)</f>
        <v>34.004</v>
      </c>
      <c r="E56" s="2" t="n">
        <f aca="false">ROUND($B$6^(A56-1),3)</f>
        <v>6.081</v>
      </c>
      <c r="F56" s="2" t="n">
        <f aca="false">ROUND($B$7/(1+$B$8*A56),1)</f>
        <v>20.8</v>
      </c>
      <c r="G56" s="2" t="n">
        <f aca="false">IF(A56&lt;4,0,MIN($B$11,$B$9+$B$10*A56))</f>
        <v>0.7</v>
      </c>
      <c r="H56" s="2" t="n">
        <f aca="false">IF(A56&lt;10,$B$12,IF(A56&lt;20,$B$13,$B$14))</f>
        <v>0.005</v>
      </c>
      <c r="I56" s="2" t="str">
        <f aca="false">IF(A56&lt;5,"none",IF(MOD(A56,5)=0,IF(A56&gt;=10,"Faction or Predator","Faction"),"none"))</f>
        <v>none</v>
      </c>
      <c r="J56" s="2" t="str">
        <f aca="false">IF(A56&gt;=10,"yes","no")</f>
        <v>yes</v>
      </c>
      <c r="K56" s="2" t="str">
        <f aca="false">IF(A56&gt;=12,"yes",IF(A56&gt;=10,"Predator Hunt only","no"))</f>
        <v>yes</v>
      </c>
      <c r="L56" s="2" t="n">
        <f aca="false">100*A56</f>
        <v>3800</v>
      </c>
    </row>
    <row r="57" customFormat="false" ht="15" hidden="false" customHeight="false" outlineLevel="0" collapsed="false">
      <c r="A57" s="2" t="n">
        <v>39</v>
      </c>
      <c r="B57" s="2" t="n">
        <f aca="false">ROUND($B$2*$B$3^(A57-1),0)</f>
        <v>2431</v>
      </c>
      <c r="C57" s="2" t="n">
        <f aca="false">ROUND($B$4^(A57-1),3)</f>
        <v>18.625</v>
      </c>
      <c r="D57" s="2" t="n">
        <f aca="false">ROUND($B$5^(A57-1),3)</f>
        <v>37.404</v>
      </c>
      <c r="E57" s="2" t="n">
        <f aca="false">ROUND($B$6^(A57-1),3)</f>
        <v>6.385</v>
      </c>
      <c r="F57" s="2" t="n">
        <f aca="false">ROUND($B$7/(1+$B$8*A57),1)</f>
        <v>20.4</v>
      </c>
      <c r="G57" s="2" t="n">
        <f aca="false">IF(A57&lt;4,0,MIN($B$11,$B$9+$B$10*A57))</f>
        <v>0.7</v>
      </c>
      <c r="H57" s="2" t="n">
        <f aca="false">IF(A57&lt;10,$B$12,IF(A57&lt;20,$B$13,$B$14))</f>
        <v>0.005</v>
      </c>
      <c r="I57" s="2" t="str">
        <f aca="false">IF(A57&lt;5,"none",IF(MOD(A57,5)=0,IF(A57&gt;=10,"Faction or Predator","Faction"),"none"))</f>
        <v>none</v>
      </c>
      <c r="J57" s="2" t="str">
        <f aca="false">IF(A57&gt;=10,"yes","no")</f>
        <v>yes</v>
      </c>
      <c r="K57" s="2" t="str">
        <f aca="false">IF(A57&gt;=12,"yes",IF(A57&gt;=10,"Predator Hunt only","no"))</f>
        <v>yes</v>
      </c>
      <c r="L57" s="2" t="n">
        <f aca="false">100*A57</f>
        <v>3900</v>
      </c>
    </row>
    <row r="58" customFormat="false" ht="15" hidden="false" customHeight="false" outlineLevel="0" collapsed="false">
      <c r="A58" s="2" t="n">
        <v>40</v>
      </c>
      <c r="B58" s="2" t="n">
        <f aca="false">ROUND($B$2*$B$3^(A58-1),0)</f>
        <v>2795</v>
      </c>
      <c r="C58" s="2" t="n">
        <f aca="false">ROUND($B$4^(A58-1),3)</f>
        <v>20.115</v>
      </c>
      <c r="D58" s="2" t="n">
        <f aca="false">ROUND($B$5^(A58-1),3)</f>
        <v>41.145</v>
      </c>
      <c r="E58" s="2" t="n">
        <f aca="false">ROUND($B$6^(A58-1),3)</f>
        <v>6.705</v>
      </c>
      <c r="F58" s="2" t="n">
        <f aca="false">ROUND($B$7/(1+$B$8*A58),1)</f>
        <v>20</v>
      </c>
      <c r="G58" s="2" t="n">
        <f aca="false">IF(A58&lt;4,0,MIN($B$11,$B$9+$B$10*A58))</f>
        <v>0.7</v>
      </c>
      <c r="H58" s="2" t="n">
        <f aca="false">IF(A58&lt;10,$B$12,IF(A58&lt;20,$B$13,$B$14))</f>
        <v>0.005</v>
      </c>
      <c r="I58" s="2" t="str">
        <f aca="false">IF(A58&lt;5,"none",IF(MOD(A58,5)=0,IF(A58&gt;=10,"Faction or Predator","Faction"),"none"))</f>
        <v>Faction or Predator</v>
      </c>
      <c r="J58" s="2" t="str">
        <f aca="false">IF(A58&gt;=10,"yes","no")</f>
        <v>yes</v>
      </c>
      <c r="K58" s="2" t="str">
        <f aca="false">IF(A58&gt;=12,"yes",IF(A58&gt;=10,"Predator Hunt only","no"))</f>
        <v>yes</v>
      </c>
      <c r="L58" s="2" t="n">
        <f aca="false">100*A58</f>
        <v>4000</v>
      </c>
    </row>
    <row r="60" customFormat="false" ht="15" hidden="false" customHeight="false" outlineLevel="0" collapsed="false">
      <c r="A60" s="2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6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1" t="s">
        <v>369</v>
      </c>
    </row>
    <row r="2" customFormat="false" ht="15" hidden="false" customHeight="false" outlineLevel="0" collapsed="false">
      <c r="A2" s="3" t="s">
        <v>328</v>
      </c>
      <c r="B2" s="3" t="s">
        <v>370</v>
      </c>
      <c r="C2" s="3" t="s">
        <v>371</v>
      </c>
      <c r="D2" s="3" t="s">
        <v>372</v>
      </c>
      <c r="E2" s="3" t="s">
        <v>373</v>
      </c>
      <c r="F2" s="3" t="s">
        <v>374</v>
      </c>
      <c r="G2" s="3" t="s">
        <v>375</v>
      </c>
      <c r="H2" s="3" t="s">
        <v>376</v>
      </c>
    </row>
    <row r="3" customFormat="false" ht="15" hidden="false" customHeight="false" outlineLevel="0" collapsed="false">
      <c r="A3" s="2" t="s">
        <v>377</v>
      </c>
      <c r="B3" s="2" t="s">
        <v>378</v>
      </c>
      <c r="C3" s="4" t="n">
        <v>4</v>
      </c>
      <c r="D3" s="4" t="n">
        <v>2</v>
      </c>
      <c r="E3" s="4" t="n">
        <v>10</v>
      </c>
      <c r="F3" s="4" t="n">
        <v>6</v>
      </c>
      <c r="G3" s="4" t="n">
        <v>0</v>
      </c>
      <c r="H3" s="2" t="s">
        <v>379</v>
      </c>
    </row>
    <row r="4" customFormat="false" ht="15" hidden="false" customHeight="false" outlineLevel="0" collapsed="false">
      <c r="A4" s="2" t="s">
        <v>334</v>
      </c>
      <c r="B4" s="2" t="s">
        <v>378</v>
      </c>
      <c r="C4" s="4" t="n">
        <v>16</v>
      </c>
      <c r="D4" s="4" t="n">
        <v>0</v>
      </c>
      <c r="E4" s="4" t="n">
        <v>20</v>
      </c>
      <c r="F4" s="4" t="n">
        <v>12</v>
      </c>
      <c r="G4" s="4" t="n">
        <v>750</v>
      </c>
      <c r="H4" s="2" t="s">
        <v>380</v>
      </c>
    </row>
    <row r="5" customFormat="false" ht="15" hidden="false" customHeight="false" outlineLevel="0" collapsed="false">
      <c r="A5" s="2" t="s">
        <v>335</v>
      </c>
      <c r="B5" s="2" t="s">
        <v>378</v>
      </c>
      <c r="C5" s="4" t="n">
        <v>38</v>
      </c>
      <c r="D5" s="4" t="n">
        <v>0</v>
      </c>
      <c r="E5" s="4" t="n">
        <v>10</v>
      </c>
      <c r="F5" s="4" t="n">
        <v>8</v>
      </c>
      <c r="G5" s="4" t="n">
        <v>1000</v>
      </c>
      <c r="H5" s="2" t="s">
        <v>381</v>
      </c>
    </row>
    <row r="6" customFormat="false" ht="15" hidden="false" customHeight="false" outlineLevel="0" collapsed="false">
      <c r="A6" s="2" t="s">
        <v>336</v>
      </c>
      <c r="B6" s="2" t="s">
        <v>382</v>
      </c>
      <c r="C6" s="4" t="n">
        <v>16</v>
      </c>
      <c r="D6" s="4" t="n">
        <v>16</v>
      </c>
      <c r="E6" s="4" t="n">
        <v>24</v>
      </c>
      <c r="F6" s="4" t="n">
        <v>10</v>
      </c>
      <c r="G6" s="4" t="n">
        <v>1250</v>
      </c>
      <c r="H6" s="2" t="s">
        <v>383</v>
      </c>
    </row>
    <row r="7" customFormat="false" ht="15" hidden="false" customHeight="false" outlineLevel="0" collapsed="false">
      <c r="A7" s="2" t="s">
        <v>337</v>
      </c>
      <c r="B7" s="2" t="s">
        <v>382</v>
      </c>
      <c r="C7" s="4" t="n">
        <v>42</v>
      </c>
      <c r="D7" s="4" t="n">
        <v>16</v>
      </c>
      <c r="E7" s="4" t="n">
        <v>14</v>
      </c>
      <c r="F7" s="4" t="n">
        <v>12</v>
      </c>
      <c r="G7" s="4" t="n">
        <v>1500</v>
      </c>
      <c r="H7" s="2" t="s">
        <v>384</v>
      </c>
    </row>
    <row r="8" customFormat="false" ht="15" hidden="false" customHeight="false" outlineLevel="0" collapsed="false">
      <c r="A8" s="2" t="s">
        <v>338</v>
      </c>
      <c r="B8" s="2" t="s">
        <v>382</v>
      </c>
      <c r="C8" s="4" t="n">
        <v>58</v>
      </c>
      <c r="D8" s="4" t="n">
        <v>14</v>
      </c>
      <c r="E8" s="4" t="n">
        <v>10</v>
      </c>
      <c r="F8" s="4" t="n">
        <v>14</v>
      </c>
      <c r="G8" s="4" t="n">
        <v>1500</v>
      </c>
      <c r="H8" s="2" t="s">
        <v>385</v>
      </c>
    </row>
    <row r="9" customFormat="false" ht="15" hidden="false" customHeight="false" outlineLevel="0" collapsed="false">
      <c r="A9" s="2" t="s">
        <v>339</v>
      </c>
      <c r="B9" s="2" t="s">
        <v>180</v>
      </c>
      <c r="C9" s="4" t="n">
        <v>0</v>
      </c>
      <c r="D9" s="4" t="n">
        <v>30</v>
      </c>
      <c r="E9" s="4" t="n">
        <v>70</v>
      </c>
      <c r="F9" s="4" t="n">
        <v>14</v>
      </c>
      <c r="G9" s="4" t="n">
        <v>2000</v>
      </c>
      <c r="H9" s="2" t="s">
        <v>386</v>
      </c>
    </row>
    <row r="10" customFormat="false" ht="15" hidden="false" customHeight="false" outlineLevel="0" collapsed="false">
      <c r="A10" s="2" t="s">
        <v>387</v>
      </c>
      <c r="B10" s="2" t="s">
        <v>180</v>
      </c>
      <c r="C10" s="4" t="n">
        <v>0</v>
      </c>
      <c r="D10" s="4" t="n">
        <v>-8</v>
      </c>
      <c r="E10" s="4" t="n">
        <v>16</v>
      </c>
      <c r="F10" s="4" t="n">
        <v>6</v>
      </c>
      <c r="G10" s="4" t="n">
        <v>0</v>
      </c>
      <c r="H10" s="2" t="s">
        <v>388</v>
      </c>
    </row>
    <row r="12" customFormat="false" ht="15" hidden="false" customHeight="false" outlineLevel="0" collapsed="false">
      <c r="A12" s="1" t="s">
        <v>389</v>
      </c>
    </row>
    <row r="13" customFormat="false" ht="15" hidden="false" customHeight="false" outlineLevel="0" collapsed="false">
      <c r="A13" s="3" t="s">
        <v>390</v>
      </c>
      <c r="B13" s="3" t="s">
        <v>391</v>
      </c>
      <c r="C13" s="3" t="s">
        <v>392</v>
      </c>
      <c r="D13" s="3" t="s">
        <v>393</v>
      </c>
    </row>
    <row r="14" customFormat="false" ht="15" hidden="false" customHeight="false" outlineLevel="0" collapsed="false">
      <c r="A14" s="2" t="s">
        <v>377</v>
      </c>
      <c r="B14" s="2" t="s">
        <v>334</v>
      </c>
      <c r="C14" s="2" t="n">
        <v>750</v>
      </c>
      <c r="D14" s="2" t="s">
        <v>394</v>
      </c>
    </row>
    <row r="15" customFormat="false" ht="15" hidden="false" customHeight="false" outlineLevel="0" collapsed="false">
      <c r="A15" s="2" t="s">
        <v>334</v>
      </c>
      <c r="B15" s="2" t="s">
        <v>335</v>
      </c>
      <c r="C15" s="2" t="n">
        <v>1000</v>
      </c>
      <c r="D15" s="2" t="s">
        <v>395</v>
      </c>
    </row>
    <row r="16" customFormat="false" ht="15" hidden="false" customHeight="false" outlineLevel="0" collapsed="false">
      <c r="A16" s="2" t="s">
        <v>334</v>
      </c>
      <c r="B16" s="2" t="s">
        <v>336</v>
      </c>
      <c r="C16" s="2" t="n">
        <v>1250</v>
      </c>
      <c r="D16" s="2" t="s">
        <v>396</v>
      </c>
    </row>
    <row r="17" customFormat="false" ht="15" hidden="false" customHeight="false" outlineLevel="0" collapsed="false">
      <c r="A17" s="2" t="s">
        <v>336</v>
      </c>
      <c r="B17" s="2" t="s">
        <v>337</v>
      </c>
      <c r="C17" s="2" t="n">
        <v>1500</v>
      </c>
      <c r="D17" s="2" t="s">
        <v>397</v>
      </c>
    </row>
    <row r="18" customFormat="false" ht="15" hidden="false" customHeight="false" outlineLevel="0" collapsed="false">
      <c r="A18" s="2" t="s">
        <v>337</v>
      </c>
      <c r="B18" s="2" t="s">
        <v>338</v>
      </c>
      <c r="C18" s="2" t="n">
        <v>1500</v>
      </c>
      <c r="D18" s="2" t="s">
        <v>398</v>
      </c>
    </row>
    <row r="19" customFormat="false" ht="15" hidden="false" customHeight="false" outlineLevel="0" collapsed="false">
      <c r="A19" s="2" t="s">
        <v>338</v>
      </c>
      <c r="B19" s="2" t="s">
        <v>339</v>
      </c>
      <c r="C19" s="2" t="n">
        <v>2000</v>
      </c>
      <c r="D19" s="2" t="s">
        <v>399</v>
      </c>
    </row>
    <row r="20" customFormat="false" ht="15" hidden="false" customHeight="false" outlineLevel="0" collapsed="false">
      <c r="A20" s="2" t="s">
        <v>377</v>
      </c>
      <c r="B20" s="2" t="s">
        <v>387</v>
      </c>
      <c r="C20" s="2" t="n">
        <v>0</v>
      </c>
      <c r="D20" s="2" t="s">
        <v>400</v>
      </c>
    </row>
    <row r="21" customFormat="false" ht="15" hidden="false" customHeight="false" outlineLevel="0" collapsed="false">
      <c r="A21" s="2" t="s">
        <v>387</v>
      </c>
      <c r="B21" s="2" t="s">
        <v>339</v>
      </c>
      <c r="C21" s="2" t="n">
        <v>0</v>
      </c>
      <c r="D21" s="2" t="s">
        <v>401</v>
      </c>
    </row>
    <row r="22" customFormat="false" ht="15" hidden="false" customHeight="false" outlineLevel="0" collapsed="false">
      <c r="A22" s="2" t="s">
        <v>335</v>
      </c>
      <c r="B22" s="2" t="s">
        <v>336</v>
      </c>
      <c r="C22" s="2" t="n">
        <v>0</v>
      </c>
      <c r="D22" s="2" t="s">
        <v>402</v>
      </c>
    </row>
    <row r="24" customFormat="false" ht="15" hidden="false" customHeight="false" outlineLevel="0" collapsed="false">
      <c r="A24" s="1" t="s">
        <v>403</v>
      </c>
    </row>
    <row r="25" customFormat="false" ht="15" hidden="false" customHeight="false" outlineLevel="0" collapsed="false">
      <c r="A25" s="3" t="s">
        <v>8</v>
      </c>
      <c r="B25" s="3" t="s">
        <v>290</v>
      </c>
      <c r="C25" s="3" t="s">
        <v>328</v>
      </c>
      <c r="D25" s="3" t="s">
        <v>371</v>
      </c>
      <c r="E25" s="3" t="s">
        <v>372</v>
      </c>
    </row>
    <row r="26" customFormat="false" ht="15" hidden="false" customHeight="false" outlineLevel="0" collapsed="false">
      <c r="A26" s="2" t="s">
        <v>404</v>
      </c>
      <c r="B26" s="2" t="s">
        <v>405</v>
      </c>
      <c r="C26" s="2" t="s">
        <v>377</v>
      </c>
      <c r="D26" s="2" t="n">
        <v>6</v>
      </c>
      <c r="E26" s="2" t="n">
        <v>4</v>
      </c>
    </row>
    <row r="27" customFormat="false" ht="15" hidden="false" customHeight="false" outlineLevel="0" collapsed="false">
      <c r="A27" s="2" t="s">
        <v>406</v>
      </c>
      <c r="B27" s="2" t="s">
        <v>407</v>
      </c>
      <c r="C27" s="2" t="s">
        <v>334</v>
      </c>
      <c r="D27" s="2" t="n">
        <v>18</v>
      </c>
      <c r="E27" s="2" t="n">
        <v>10</v>
      </c>
    </row>
    <row r="28" customFormat="false" ht="15" hidden="false" customHeight="false" outlineLevel="0" collapsed="false">
      <c r="A28" s="2" t="s">
        <v>408</v>
      </c>
      <c r="B28" s="2" t="s">
        <v>407</v>
      </c>
      <c r="C28" s="2" t="s">
        <v>334</v>
      </c>
      <c r="D28" s="2" t="n">
        <v>34</v>
      </c>
      <c r="E28" s="2" t="n">
        <v>10</v>
      </c>
    </row>
    <row r="29" customFormat="false" ht="15" hidden="false" customHeight="false" outlineLevel="0" collapsed="false">
      <c r="A29" s="2" t="s">
        <v>409</v>
      </c>
      <c r="B29" s="2" t="s">
        <v>405</v>
      </c>
      <c r="C29" s="2" t="s">
        <v>334</v>
      </c>
      <c r="D29" s="2" t="n">
        <v>26</v>
      </c>
      <c r="E29" s="2" t="n">
        <v>1</v>
      </c>
    </row>
    <row r="30" customFormat="false" ht="15" hidden="false" customHeight="false" outlineLevel="0" collapsed="false">
      <c r="A30" s="2" t="s">
        <v>410</v>
      </c>
      <c r="B30" s="2" t="s">
        <v>411</v>
      </c>
      <c r="C30" s="2" t="s">
        <v>334</v>
      </c>
      <c r="D30" s="2" t="n">
        <v>30</v>
      </c>
      <c r="E30" s="2" t="n">
        <v>6</v>
      </c>
    </row>
    <row r="31" customFormat="false" ht="15" hidden="false" customHeight="false" outlineLevel="0" collapsed="false">
      <c r="A31" s="2" t="s">
        <v>412</v>
      </c>
      <c r="B31" s="2" t="s">
        <v>413</v>
      </c>
      <c r="C31" s="2" t="s">
        <v>334</v>
      </c>
      <c r="D31" s="2" t="n">
        <v>24</v>
      </c>
      <c r="E31" s="2" t="n">
        <v>3</v>
      </c>
    </row>
    <row r="32" customFormat="false" ht="15" hidden="false" customHeight="false" outlineLevel="0" collapsed="false">
      <c r="A32" s="2" t="s">
        <v>414</v>
      </c>
      <c r="B32" s="2" t="s">
        <v>405</v>
      </c>
      <c r="C32" s="2" t="s">
        <v>335</v>
      </c>
      <c r="D32" s="2" t="n">
        <v>40</v>
      </c>
      <c r="E32" s="2" t="n">
        <v>2</v>
      </c>
    </row>
    <row r="33" customFormat="false" ht="15" hidden="false" customHeight="false" outlineLevel="0" collapsed="false">
      <c r="A33" s="2" t="s">
        <v>415</v>
      </c>
      <c r="B33" s="2" t="s">
        <v>416</v>
      </c>
      <c r="C33" s="2" t="s">
        <v>335</v>
      </c>
      <c r="D33" s="2" t="n">
        <v>46</v>
      </c>
      <c r="E33" s="2" t="n">
        <v>6</v>
      </c>
    </row>
    <row r="34" customFormat="false" ht="15" hidden="false" customHeight="false" outlineLevel="0" collapsed="false">
      <c r="A34" s="2" t="s">
        <v>417</v>
      </c>
      <c r="B34" s="2" t="s">
        <v>413</v>
      </c>
      <c r="C34" s="2" t="s">
        <v>335</v>
      </c>
      <c r="D34" s="2" t="n">
        <v>42</v>
      </c>
      <c r="E34" s="2" t="n">
        <v>6</v>
      </c>
    </row>
    <row r="35" customFormat="false" ht="15" hidden="false" customHeight="false" outlineLevel="0" collapsed="false">
      <c r="A35" s="2" t="s">
        <v>418</v>
      </c>
      <c r="B35" s="2" t="s">
        <v>407</v>
      </c>
      <c r="C35" s="2" t="s">
        <v>336</v>
      </c>
      <c r="D35" s="2" t="n">
        <v>20</v>
      </c>
      <c r="E35" s="2" t="n">
        <v>24</v>
      </c>
    </row>
    <row r="36" customFormat="false" ht="15" hidden="false" customHeight="false" outlineLevel="0" collapsed="false">
      <c r="A36" s="2" t="s">
        <v>419</v>
      </c>
      <c r="B36" s="2" t="s">
        <v>405</v>
      </c>
      <c r="C36" s="2" t="s">
        <v>336</v>
      </c>
      <c r="D36" s="2" t="n">
        <v>28</v>
      </c>
      <c r="E36" s="2" t="n">
        <v>17</v>
      </c>
    </row>
    <row r="37" customFormat="false" ht="15" hidden="false" customHeight="false" outlineLevel="0" collapsed="false">
      <c r="A37" s="2" t="s">
        <v>420</v>
      </c>
      <c r="B37" s="2" t="s">
        <v>405</v>
      </c>
      <c r="C37" s="2" t="s">
        <v>336</v>
      </c>
      <c r="D37" s="2" t="n">
        <v>36</v>
      </c>
      <c r="E37" s="2" t="n">
        <v>24</v>
      </c>
    </row>
    <row r="38" customFormat="false" ht="15" hidden="false" customHeight="false" outlineLevel="0" collapsed="false">
      <c r="A38" s="2" t="s">
        <v>421</v>
      </c>
      <c r="B38" s="2" t="s">
        <v>303</v>
      </c>
      <c r="C38" s="2" t="s">
        <v>336</v>
      </c>
      <c r="D38" s="2" t="n">
        <v>18</v>
      </c>
      <c r="E38" s="2" t="n">
        <v>20</v>
      </c>
    </row>
    <row r="39" customFormat="false" ht="15" hidden="false" customHeight="false" outlineLevel="0" collapsed="false">
      <c r="A39" s="2" t="s">
        <v>422</v>
      </c>
      <c r="B39" s="2" t="s">
        <v>423</v>
      </c>
      <c r="C39" s="2" t="s">
        <v>337</v>
      </c>
      <c r="D39" s="2" t="n">
        <v>44</v>
      </c>
      <c r="E39" s="2" t="n">
        <v>18</v>
      </c>
    </row>
    <row r="40" customFormat="false" ht="15" hidden="false" customHeight="false" outlineLevel="0" collapsed="false">
      <c r="A40" s="2" t="s">
        <v>424</v>
      </c>
      <c r="B40" s="2" t="s">
        <v>425</v>
      </c>
      <c r="C40" s="2" t="s">
        <v>337</v>
      </c>
      <c r="D40" s="2" t="n">
        <v>52</v>
      </c>
      <c r="E40" s="2" t="n">
        <v>26</v>
      </c>
    </row>
    <row r="41" customFormat="false" ht="15" hidden="false" customHeight="false" outlineLevel="0" collapsed="false">
      <c r="A41" s="2" t="s">
        <v>426</v>
      </c>
      <c r="B41" s="2" t="s">
        <v>184</v>
      </c>
      <c r="C41" s="2" t="s">
        <v>337</v>
      </c>
      <c r="D41" s="2" t="n">
        <v>49</v>
      </c>
      <c r="E41" s="2" t="n">
        <v>22</v>
      </c>
    </row>
    <row r="42" customFormat="false" ht="15" hidden="false" customHeight="false" outlineLevel="0" collapsed="false">
      <c r="A42" s="2" t="s">
        <v>427</v>
      </c>
      <c r="B42" s="2" t="s">
        <v>405</v>
      </c>
      <c r="C42" s="2" t="s">
        <v>338</v>
      </c>
      <c r="D42" s="2" t="n">
        <v>60</v>
      </c>
      <c r="E42" s="2" t="n">
        <v>16</v>
      </c>
    </row>
    <row r="43" customFormat="false" ht="15" hidden="false" customHeight="false" outlineLevel="0" collapsed="false">
      <c r="A43" s="2" t="s">
        <v>428</v>
      </c>
      <c r="B43" s="2" t="s">
        <v>407</v>
      </c>
      <c r="C43" s="2" t="s">
        <v>338</v>
      </c>
      <c r="D43" s="2" t="n">
        <v>66</v>
      </c>
      <c r="E43" s="2" t="n">
        <v>26</v>
      </c>
    </row>
    <row r="44" customFormat="false" ht="15" hidden="false" customHeight="false" outlineLevel="0" collapsed="false">
      <c r="A44" s="2" t="s">
        <v>429</v>
      </c>
      <c r="B44" s="2" t="s">
        <v>416</v>
      </c>
      <c r="C44" s="2" t="s">
        <v>338</v>
      </c>
      <c r="D44" s="2" t="n">
        <v>62</v>
      </c>
      <c r="E44" s="2" t="n">
        <v>26</v>
      </c>
    </row>
    <row r="45" customFormat="false" ht="15" hidden="false" customHeight="false" outlineLevel="0" collapsed="false">
      <c r="A45" s="2" t="s">
        <v>430</v>
      </c>
      <c r="B45" s="2" t="s">
        <v>431</v>
      </c>
      <c r="C45" s="2" t="s">
        <v>338</v>
      </c>
      <c r="D45" s="2" t="n">
        <v>67</v>
      </c>
      <c r="E45" s="2" t="n">
        <v>20</v>
      </c>
    </row>
    <row r="46" customFormat="false" ht="15" hidden="false" customHeight="false" outlineLevel="0" collapsed="false">
      <c r="A46" s="2" t="s">
        <v>432</v>
      </c>
      <c r="B46" s="2" t="s">
        <v>407</v>
      </c>
      <c r="C46" s="2" t="s">
        <v>339</v>
      </c>
      <c r="D46" s="2" t="n">
        <v>10</v>
      </c>
      <c r="E46" s="2" t="n">
        <v>40</v>
      </c>
    </row>
    <row r="47" customFormat="false" ht="15" hidden="false" customHeight="false" outlineLevel="0" collapsed="false">
      <c r="A47" s="2" t="s">
        <v>433</v>
      </c>
      <c r="B47" s="2" t="s">
        <v>413</v>
      </c>
      <c r="C47" s="2" t="s">
        <v>339</v>
      </c>
      <c r="D47" s="2" t="n">
        <v>30</v>
      </c>
      <c r="E47" s="2" t="n">
        <v>42</v>
      </c>
    </row>
    <row r="48" customFormat="false" ht="15" hidden="false" customHeight="false" outlineLevel="0" collapsed="false">
      <c r="A48" s="2" t="s">
        <v>434</v>
      </c>
      <c r="B48" s="2" t="s">
        <v>413</v>
      </c>
      <c r="C48" s="2" t="s">
        <v>339</v>
      </c>
      <c r="D48" s="2" t="n">
        <v>60</v>
      </c>
      <c r="E48" s="2" t="n">
        <v>40</v>
      </c>
    </row>
    <row r="49" customFormat="false" ht="15" hidden="false" customHeight="false" outlineLevel="0" collapsed="false">
      <c r="A49" s="2" t="s">
        <v>435</v>
      </c>
      <c r="B49" s="2" t="s">
        <v>436</v>
      </c>
      <c r="C49" s="2" t="s">
        <v>387</v>
      </c>
      <c r="D49" s="2" t="n">
        <v>8</v>
      </c>
      <c r="E49" s="2" t="n">
        <v>-5</v>
      </c>
    </row>
    <row r="50" customFormat="false" ht="15" hidden="false" customHeight="false" outlineLevel="0" collapsed="false">
      <c r="A50" s="2" t="s">
        <v>437</v>
      </c>
      <c r="B50" s="2" t="s">
        <v>438</v>
      </c>
      <c r="C50" s="2" t="s">
        <v>377</v>
      </c>
      <c r="D50" s="2" t="n">
        <v>12</v>
      </c>
      <c r="E50" s="2" t="n">
        <v>7</v>
      </c>
    </row>
    <row r="51" customFormat="false" ht="15" hidden="false" customHeight="false" outlineLevel="0" collapsed="false">
      <c r="A51" s="2" t="s">
        <v>439</v>
      </c>
      <c r="B51" s="2" t="s">
        <v>303</v>
      </c>
      <c r="C51" s="2" t="s">
        <v>335</v>
      </c>
      <c r="D51" s="2" t="n">
        <v>44</v>
      </c>
      <c r="E51" s="2" t="n">
        <v>1</v>
      </c>
    </row>
    <row r="52" customFormat="false" ht="15" hidden="false" customHeight="false" outlineLevel="0" collapsed="false">
      <c r="A52" s="2" t="s">
        <v>440</v>
      </c>
      <c r="B52" s="2" t="s">
        <v>303</v>
      </c>
      <c r="C52" s="2" t="s">
        <v>339</v>
      </c>
      <c r="D52" s="2" t="n">
        <v>20</v>
      </c>
      <c r="E52" s="2" t="n">
        <v>36</v>
      </c>
    </row>
    <row r="54" customFormat="false" ht="15" hidden="false" customHeight="false" outlineLevel="0" collapsed="false">
      <c r="A54" s="1" t="s">
        <v>441</v>
      </c>
    </row>
    <row r="55" customFormat="false" ht="15" hidden="false" customHeight="false" outlineLevel="0" collapsed="false">
      <c r="A55" s="2" t="s">
        <v>442</v>
      </c>
    </row>
    <row r="56" customFormat="false" ht="15" hidden="false" customHeight="false" outlineLevel="0" collapsed="false">
      <c r="A56" s="2" t="s">
        <v>443</v>
      </c>
    </row>
    <row r="57" customFormat="false" ht="15" hidden="false" customHeight="false" outlineLevel="0" collapsed="false">
      <c r="A57" s="2" t="s">
        <v>444</v>
      </c>
    </row>
    <row r="58" customFormat="false" ht="15" hidden="false" customHeight="false" outlineLevel="0" collapsed="false">
      <c r="A58" s="2" t="s">
        <v>445</v>
      </c>
    </row>
    <row r="59" customFormat="false" ht="15" hidden="false" customHeight="false" outlineLevel="0" collapsed="false">
      <c r="A59" s="2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2" t="s">
        <v>447</v>
      </c>
    </row>
    <row r="2" customFormat="false" ht="15" hidden="false" customHeight="false" outlineLevel="0" collapsed="false">
      <c r="A2" s="2" t="s">
        <v>448</v>
      </c>
    </row>
    <row r="3" customFormat="false" ht="15" hidden="false" customHeight="false" outlineLevel="0" collapsed="false">
      <c r="A3" s="2" t="s">
        <v>449</v>
      </c>
    </row>
    <row r="4" customFormat="false" ht="15" hidden="false" customHeight="false" outlineLevel="0" collapsed="false">
      <c r="A4" s="2" t="s">
        <v>450</v>
      </c>
    </row>
    <row r="5" customFormat="false" ht="15" hidden="false" customHeight="false" outlineLevel="0" collapsed="false">
      <c r="A5" s="2" t="s">
        <v>451</v>
      </c>
    </row>
    <row r="6" customFormat="false" ht="15" hidden="false" customHeight="false" outlineLevel="0" collapsed="false">
      <c r="A6" s="2" t="s">
        <v>452</v>
      </c>
    </row>
    <row r="7" customFormat="false" ht="15" hidden="false" customHeight="false" outlineLevel="0" collapsed="false">
      <c r="A7" s="2" t="s">
        <v>453</v>
      </c>
    </row>
    <row r="8" customFormat="false" ht="15" hidden="false" customHeight="false" outlineLevel="0" collapsed="false">
      <c r="A8" s="2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2026-09-30T01:47:24Z</dcterms:created>
  <dc:creator>openpyxl</dc:creator>
  <dc:description/>
  <dc:language>en-US</dc:language>
  <cp:lastModifiedBy/>
  <dcterms:modified xsi:type="dcterms:W3CDTF">2026-09-30T01:47:24Z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